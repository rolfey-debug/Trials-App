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rolfe\Downloads\"/>
    </mc:Choice>
  </mc:AlternateContent>
  <xr:revisionPtr revIDLastSave="0" documentId="13_ncr:1_{259387AC-F30B-45F2-AE8E-EAAC85652032}" xr6:coauthVersionLast="47" xr6:coauthVersionMax="47" xr10:uidLastSave="{00000000-0000-0000-0000-000000000000}"/>
  <bookViews>
    <workbookView xWindow="-120" yWindow="-120" windowWidth="29040" windowHeight="17520" tabRatio="500" activeTab="1" xr2:uid="{00000000-000D-0000-FFFF-FFFF00000000}"/>
  </bookViews>
  <sheets>
    <sheet name="Inputs" sheetId="1" r:id="rId1"/>
    <sheet name="Barley Mixing" sheetId="2" r:id="rId2"/>
    <sheet name="Wheat Mixing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1" l="1"/>
  <c r="B10" i="1" s="1"/>
  <c r="F3" i="2" l="1"/>
  <c r="F3" i="3"/>
  <c r="B11" i="1"/>
  <c r="B13" i="1" s="1"/>
  <c r="D3" i="2" l="1"/>
  <c r="D3" i="3"/>
  <c r="G61" i="3" l="1"/>
  <c r="G49" i="3"/>
  <c r="G36" i="3"/>
  <c r="G24" i="3"/>
  <c r="G12" i="3"/>
  <c r="B85" i="3" s="1"/>
  <c r="G60" i="3"/>
  <c r="G48" i="3"/>
  <c r="G35" i="3"/>
  <c r="G23" i="3"/>
  <c r="G11" i="3"/>
  <c r="G71" i="3"/>
  <c r="G59" i="3"/>
  <c r="G47" i="3"/>
  <c r="G34" i="3"/>
  <c r="G22" i="3"/>
  <c r="G10" i="3"/>
  <c r="B76" i="3" s="1"/>
  <c r="G63" i="3"/>
  <c r="G25" i="3"/>
  <c r="G70" i="3"/>
  <c r="G58" i="3"/>
  <c r="G46" i="3"/>
  <c r="G33" i="3"/>
  <c r="G21" i="3"/>
  <c r="G9" i="3"/>
  <c r="B87" i="3" s="1"/>
  <c r="G69" i="3"/>
  <c r="G57" i="3"/>
  <c r="G45" i="3"/>
  <c r="G32" i="3"/>
  <c r="G20" i="3"/>
  <c r="B84" i="3" s="1"/>
  <c r="G8" i="3"/>
  <c r="B81" i="3" s="1"/>
  <c r="G68" i="3"/>
  <c r="G56" i="3"/>
  <c r="G44" i="3"/>
  <c r="G31" i="3"/>
  <c r="G19" i="3"/>
  <c r="G7" i="3"/>
  <c r="B77" i="3" s="1"/>
  <c r="G27" i="3"/>
  <c r="G51" i="3"/>
  <c r="G38" i="3"/>
  <c r="G26" i="3"/>
  <c r="G14" i="3"/>
  <c r="G62" i="3"/>
  <c r="G13" i="3"/>
  <c r="G67" i="3"/>
  <c r="G55" i="3"/>
  <c r="G42" i="3"/>
  <c r="G30" i="3"/>
  <c r="G18" i="3"/>
  <c r="G37" i="3"/>
  <c r="G66" i="3"/>
  <c r="G54" i="3"/>
  <c r="G41" i="3"/>
  <c r="G29" i="3"/>
  <c r="G17" i="3"/>
  <c r="G64" i="3"/>
  <c r="G39" i="3"/>
  <c r="G15" i="3"/>
  <c r="B90" i="3" s="1"/>
  <c r="G65" i="3"/>
  <c r="G53" i="3"/>
  <c r="G40" i="3"/>
  <c r="G28" i="3"/>
  <c r="G16" i="3"/>
  <c r="G52" i="3"/>
  <c r="G50" i="3"/>
  <c r="G33" i="2"/>
  <c r="G21" i="2"/>
  <c r="G9" i="2"/>
  <c r="G32" i="2"/>
  <c r="G31" i="2"/>
  <c r="G19" i="2"/>
  <c r="G7" i="2"/>
  <c r="B44" i="2" s="1"/>
  <c r="G30" i="2"/>
  <c r="G18" i="2"/>
  <c r="G12" i="2"/>
  <c r="G35" i="2"/>
  <c r="G8" i="2"/>
  <c r="B49" i="2" s="1"/>
  <c r="G29" i="2"/>
  <c r="G17" i="2"/>
  <c r="G28" i="2"/>
  <c r="G16" i="2"/>
  <c r="G36" i="2"/>
  <c r="G11" i="2"/>
  <c r="G34" i="2"/>
  <c r="G39" i="2"/>
  <c r="G27" i="2"/>
  <c r="G15" i="2"/>
  <c r="B47" i="2" s="1"/>
  <c r="G37" i="2"/>
  <c r="G24" i="2"/>
  <c r="G23" i="2"/>
  <c r="B48" i="2" s="1"/>
  <c r="G10" i="2"/>
  <c r="B45" i="2" s="1"/>
  <c r="G38" i="2"/>
  <c r="G26" i="2"/>
  <c r="G14" i="2"/>
  <c r="B52" i="2" s="1"/>
  <c r="G25" i="2"/>
  <c r="G20" i="2"/>
  <c r="G13" i="2"/>
  <c r="G22" i="2"/>
  <c r="B83" i="3" l="1"/>
  <c r="B82" i="3"/>
  <c r="B80" i="3"/>
  <c r="B78" i="3"/>
  <c r="B88" i="3"/>
  <c r="B46" i="2"/>
  <c r="B53" i="2"/>
  <c r="B91" i="3"/>
  <c r="B92" i="3"/>
  <c r="B50" i="2"/>
  <c r="B86" i="3"/>
  <c r="B51" i="2"/>
  <c r="B89" i="3"/>
  <c r="B79" i="3"/>
</calcChain>
</file>

<file path=xl/sharedStrings.xml><?xml version="1.0" encoding="utf-8"?>
<sst xmlns="http://schemas.openxmlformats.org/spreadsheetml/2006/main" count="522" uniqueCount="100">
  <si>
    <t>AGnVET Services — IK Caldwell</t>
  </si>
  <si>
    <t>2026 Fungicide Trials — Mixing Plan</t>
  </si>
  <si>
    <t>Parameter</t>
  </si>
  <si>
    <t>Value</t>
  </si>
  <si>
    <t>Unit</t>
  </si>
  <si>
    <t>Basis</t>
  </si>
  <si>
    <t>Plot width</t>
  </si>
  <si>
    <t>m</t>
  </si>
  <si>
    <t>Trial spec</t>
  </si>
  <si>
    <t>Plot length</t>
  </si>
  <si>
    <t>Plot area</t>
  </si>
  <si>
    <t>m²</t>
  </si>
  <si>
    <t>width × length</t>
  </si>
  <si>
    <t>Replicates</t>
  </si>
  <si>
    <t>no.</t>
  </si>
  <si>
    <t>Water rate</t>
  </si>
  <si>
    <t>L/ha</t>
  </si>
  <si>
    <t>Water required per plot</t>
  </si>
  <si>
    <t>L</t>
  </si>
  <si>
    <t>plot area ÷ 10,000 × water rate</t>
  </si>
  <si>
    <t>Water required per treatment</t>
  </si>
  <si>
    <t>per plot × replicates</t>
  </si>
  <si>
    <t>Overage per batch</t>
  </si>
  <si>
    <t>Priming / dead volume — adjust to suit sprayer</t>
  </si>
  <si>
    <t>BATCH VOLUME PER TREATMENT</t>
  </si>
  <si>
    <t>required + overage. Drives every ml figure.</t>
  </si>
  <si>
    <t>Legend</t>
  </si>
  <si>
    <t>Yellow / blue cells are inputs — change these only. Everything else is a formula.</t>
  </si>
  <si>
    <t>Rates entered as ml/ha, g/ha or % v/v. Adjuvant % is v/v of the batch volume.</t>
  </si>
  <si>
    <t>Measure product with graduated syringes. Anything under 3 ml — make a 10× stock dilution and draw 10× the volume.</t>
  </si>
  <si>
    <t>Site agronomy, growth stages and layout: see the 2026 Fungicide Trials Site Information Sheet.</t>
  </si>
  <si>
    <t>Barley Fungicide Trial — Matong — Mixing Plan</t>
  </si>
  <si>
    <t>Batch volume per treatment (L):</t>
  </si>
  <si>
    <t>Water per plot (L):</t>
  </si>
  <si>
    <t>Trt</t>
  </si>
  <si>
    <t>Treatment</t>
  </si>
  <si>
    <t>Timing</t>
  </si>
  <si>
    <t>Product</t>
  </si>
  <si>
    <t>Rate</t>
  </si>
  <si>
    <t>Per batch (ml)</t>
  </si>
  <si>
    <t>Check</t>
  </si>
  <si>
    <t>Untreated</t>
  </si>
  <si>
    <t>A</t>
  </si>
  <si>
    <t>Water only</t>
  </si>
  <si>
    <t>Aviator Xpro</t>
  </si>
  <si>
    <t>ml/ha</t>
  </si>
  <si>
    <t>☐</t>
  </si>
  <si>
    <t>Elatus Ace</t>
  </si>
  <si>
    <t>Proviso Plus Azx</t>
  </si>
  <si>
    <t>Proviso Opti</t>
  </si>
  <si>
    <t>Azoxystrobin</t>
  </si>
  <si>
    <t>BS1000</t>
  </si>
  <si>
    <t>% v/v</t>
  </si>
  <si>
    <t>Revystar</t>
  </si>
  <si>
    <t>Balaya</t>
  </si>
  <si>
    <t>Elatus Flexi</t>
  </si>
  <si>
    <t>Experimental 2 AH</t>
  </si>
  <si>
    <t>Vimoy Iblon (Bayer)</t>
  </si>
  <si>
    <t>Experimental 3 A</t>
  </si>
  <si>
    <t>Experimental 4 A</t>
  </si>
  <si>
    <t>CUF37 (Syngenta)</t>
  </si>
  <si>
    <t>Balaya B</t>
  </si>
  <si>
    <t>B</t>
  </si>
  <si>
    <t>Experimental 2 BH</t>
  </si>
  <si>
    <t>Experimental 3 B</t>
  </si>
  <si>
    <t>Experimental 4 B</t>
  </si>
  <si>
    <t>Total product required across all batches</t>
  </si>
  <si>
    <t>Total (ml)</t>
  </si>
  <si>
    <t>Tick the Check box as each product is added to the batch.</t>
  </si>
  <si>
    <t>Adjuvant goes in last. Water in tank first, agitate between products.</t>
  </si>
  <si>
    <t>A = GS25–31, B = GS37–39. Treatments 12–15 receive Proviso Opti + BS1000 at A as the standard base.</t>
  </si>
  <si>
    <t>Wheat Fungicide Trial — Ringwood (Corowa) + Matong — Mixing Plan (rev. C, 24 treatments)</t>
  </si>
  <si>
    <t>Opera</t>
  </si>
  <si>
    <t>Radial Opti (made up)</t>
  </si>
  <si>
    <t>Amistar 250 SC</t>
  </si>
  <si>
    <t>Soprano 500</t>
  </si>
  <si>
    <t>Hasten</t>
  </si>
  <si>
    <t>Balaya A+B</t>
  </si>
  <si>
    <t>Flute A</t>
  </si>
  <si>
    <t>Flute</t>
  </si>
  <si>
    <t>Experimental 1 A</t>
  </si>
  <si>
    <t>G295 (Adama)</t>
  </si>
  <si>
    <t>Experimental 2 AL</t>
  </si>
  <si>
    <t>Flute B</t>
  </si>
  <si>
    <t>Experimental 2 BL</t>
  </si>
  <si>
    <t>Marvis A+B</t>
  </si>
  <si>
    <t>Marvis Star</t>
  </si>
  <si>
    <t>Marvis A</t>
  </si>
  <si>
    <t>Balaya A</t>
  </si>
  <si>
    <t>Opus A</t>
  </si>
  <si>
    <t>Radial Opti</t>
  </si>
  <si>
    <t>Prosaro</t>
  </si>
  <si>
    <t>Updated to the revised treatment list — 24 treatments. The standard partner is Opus 500 ml/ha at both A and B.</t>
  </si>
  <si>
    <t>This replaces the earlier 'Industry Standard' assumption (Proviso Opti at A / Prosaro at B), which was wrong.</t>
  </si>
  <si>
    <t>The same 24 wheat treatments run at BOTH Ringwood and Matong. For one mix covering both sites, set Replicates to 8 on the Inputs tab.</t>
  </si>
  <si>
    <t>Trts 21/22 and 8/23 renamed A+B vs A to keep plot labels unambiguous.</t>
  </si>
  <si>
    <t>Bulk batches: trts 15-20 + 24 share the A mix (Opus 500). Trts 2-14 share the B mix (Opus 500).</t>
  </si>
  <si>
    <t>Tick the Check box as each product is added to the batch. Adjuvant last.</t>
  </si>
  <si>
    <t>x</t>
  </si>
  <si>
    <t>Proline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</si>
</sst>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"/>
    <numFmt numFmtId="165" formatCode="0.0"/>
  </numFmts>
  <fonts count="9" x14ac:knownFonts="1">
    <font>
      <sz val="11"/>
      <color theme="1"/>
      <name val="Calibri"/>
      <family val="2"/>
      <charset val="1"/>
    </font>
    <font>
      <b/>
      <sz val="9"/>
      <color rgb="FF58585B"/>
      <name val="Arial"/>
      <charset val="1"/>
    </font>
    <font>
      <b/>
      <sz val="14"/>
      <color rgb="FF00774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sz val="10"/>
      <name val="Arial"/>
      <charset val="1"/>
    </font>
    <font>
      <i/>
      <sz val="9"/>
      <color rgb="FF58585B"/>
      <name val="Arial"/>
      <charset val="1"/>
    </font>
    <font>
      <b/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007749"/>
        <bgColor rgb="FF00808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AFAFA"/>
      </patternFill>
    </fill>
    <fill>
      <patternFill patternType="solid">
        <fgColor rgb="FFFAFAFA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1" xfId="0" applyFont="1" applyBorder="1"/>
    <xf numFmtId="0" fontId="5" fillId="3" borderId="1" xfId="0" applyFont="1" applyFill="1" applyBorder="1"/>
    <xf numFmtId="0" fontId="6" fillId="0" borderId="1" xfId="0" applyFont="1" applyBorder="1"/>
    <xf numFmtId="0" fontId="7" fillId="0" borderId="1" xfId="0" applyFont="1" applyBorder="1"/>
    <xf numFmtId="2" fontId="6" fillId="0" borderId="1" xfId="0" applyNumberFormat="1" applyFont="1" applyBorder="1"/>
    <xf numFmtId="0" fontId="8" fillId="0" borderId="1" xfId="0" applyFont="1" applyBorder="1"/>
    <xf numFmtId="2" fontId="8" fillId="4" borderId="1" xfId="0" applyNumberFormat="1" applyFont="1" applyFill="1" applyBorder="1"/>
    <xf numFmtId="0" fontId="4" fillId="0" borderId="0" xfId="0" applyFont="1"/>
    <xf numFmtId="0" fontId="7" fillId="0" borderId="0" xfId="0" applyFont="1"/>
    <xf numFmtId="2" fontId="8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5" borderId="1" xfId="0" applyFont="1" applyFill="1" applyBorder="1"/>
    <xf numFmtId="0" fontId="6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4" fontId="6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3" fillId="2" borderId="1" xfId="0" applyFont="1" applyFill="1" applyBorder="1"/>
    <xf numFmtId="165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749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8585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showGridLines="0" zoomScaleNormal="100" workbookViewId="0"/>
  </sheetViews>
  <sheetFormatPr defaultColWidth="8.7109375" defaultRowHeight="15" x14ac:dyDescent="0.25"/>
  <cols>
    <col min="1" max="1" width="30" customWidth="1"/>
    <col min="2" max="2" width="12" customWidth="1"/>
    <col min="3" max="3" width="10" customWidth="1"/>
    <col min="4" max="4" width="62" customWidth="1"/>
  </cols>
  <sheetData>
    <row r="1" spans="1:4" x14ac:dyDescent="0.25">
      <c r="A1" s="1" t="s">
        <v>0</v>
      </c>
    </row>
    <row r="2" spans="1:4" ht="18" x14ac:dyDescent="0.25">
      <c r="A2" s="2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5">
        <v>2</v>
      </c>
      <c r="C5" s="6" t="s">
        <v>7</v>
      </c>
      <c r="D5" s="7" t="s">
        <v>8</v>
      </c>
    </row>
    <row r="6" spans="1:4" x14ac:dyDescent="0.25">
      <c r="A6" s="4" t="s">
        <v>9</v>
      </c>
      <c r="B6" s="5">
        <v>12</v>
      </c>
      <c r="C6" s="6" t="s">
        <v>7</v>
      </c>
      <c r="D6" s="7" t="s">
        <v>8</v>
      </c>
    </row>
    <row r="7" spans="1:4" x14ac:dyDescent="0.25">
      <c r="A7" s="4" t="s">
        <v>10</v>
      </c>
      <c r="B7" s="8">
        <f>B5*B6</f>
        <v>24</v>
      </c>
      <c r="C7" s="6" t="s">
        <v>11</v>
      </c>
      <c r="D7" s="7" t="s">
        <v>12</v>
      </c>
    </row>
    <row r="8" spans="1:4" x14ac:dyDescent="0.25">
      <c r="A8" s="4" t="s">
        <v>13</v>
      </c>
      <c r="B8" s="5">
        <v>4</v>
      </c>
      <c r="C8" s="6" t="s">
        <v>14</v>
      </c>
      <c r="D8" s="7" t="s">
        <v>8</v>
      </c>
    </row>
    <row r="9" spans="1:4" x14ac:dyDescent="0.25">
      <c r="A9" s="4" t="s">
        <v>15</v>
      </c>
      <c r="B9" s="5">
        <v>100</v>
      </c>
      <c r="C9" s="6" t="s">
        <v>16</v>
      </c>
      <c r="D9" s="7" t="s">
        <v>8</v>
      </c>
    </row>
    <row r="10" spans="1:4" x14ac:dyDescent="0.25">
      <c r="A10" s="4" t="s">
        <v>17</v>
      </c>
      <c r="B10" s="8">
        <f>B7/10000*B9</f>
        <v>0.24</v>
      </c>
      <c r="C10" s="6" t="s">
        <v>18</v>
      </c>
      <c r="D10" s="7" t="s">
        <v>19</v>
      </c>
    </row>
    <row r="11" spans="1:4" x14ac:dyDescent="0.25">
      <c r="A11" s="4" t="s">
        <v>20</v>
      </c>
      <c r="B11" s="8">
        <f>B10*B8</f>
        <v>0.96</v>
      </c>
      <c r="C11" s="6" t="s">
        <v>18</v>
      </c>
      <c r="D11" s="7" t="s">
        <v>21</v>
      </c>
    </row>
    <row r="12" spans="1:4" x14ac:dyDescent="0.25">
      <c r="A12" s="4" t="s">
        <v>22</v>
      </c>
      <c r="B12" s="5">
        <v>0.54</v>
      </c>
      <c r="C12" s="6" t="s">
        <v>18</v>
      </c>
      <c r="D12" s="7" t="s">
        <v>23</v>
      </c>
    </row>
    <row r="13" spans="1:4" x14ac:dyDescent="0.25">
      <c r="A13" s="9" t="s">
        <v>24</v>
      </c>
      <c r="B13" s="10">
        <f>B11+B12</f>
        <v>1.5</v>
      </c>
      <c r="C13" s="6" t="s">
        <v>18</v>
      </c>
      <c r="D13" s="7" t="s">
        <v>25</v>
      </c>
    </row>
    <row r="15" spans="1:4" x14ac:dyDescent="0.25">
      <c r="A15" s="11" t="s">
        <v>26</v>
      </c>
    </row>
    <row r="16" spans="1:4" x14ac:dyDescent="0.25">
      <c r="A16" s="12" t="s">
        <v>27</v>
      </c>
    </row>
    <row r="17" spans="1:1" x14ac:dyDescent="0.25">
      <c r="A17" s="12" t="s">
        <v>28</v>
      </c>
    </row>
    <row r="18" spans="1:1" x14ac:dyDescent="0.25">
      <c r="A18" s="12" t="s">
        <v>29</v>
      </c>
    </row>
    <row r="19" spans="1:1" x14ac:dyDescent="0.25">
      <c r="A19" s="12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showGridLines="0" tabSelected="1" zoomScaleNormal="100" workbookViewId="0">
      <pane ySplit="5" topLeftCell="A6" activePane="bottomLeft" state="frozen"/>
      <selection pane="bottomLeft" activeCell="N28" sqref="N28"/>
    </sheetView>
  </sheetViews>
  <sheetFormatPr defaultColWidth="8.7109375" defaultRowHeight="15" x14ac:dyDescent="0.25"/>
  <cols>
    <col min="1" max="1" width="6" customWidth="1"/>
    <col min="2" max="2" width="20" customWidth="1"/>
    <col min="3" max="3" width="8" customWidth="1"/>
    <col min="4" max="4" width="24" customWidth="1"/>
    <col min="5" max="6" width="9" customWidth="1"/>
    <col min="7" max="7" width="15" customWidth="1"/>
    <col min="8" max="8" width="8" customWidth="1"/>
  </cols>
  <sheetData>
    <row r="1" spans="1:8" x14ac:dyDescent="0.25">
      <c r="A1" s="1" t="s">
        <v>0</v>
      </c>
    </row>
    <row r="2" spans="1:8" ht="18" x14ac:dyDescent="0.25">
      <c r="A2" s="2" t="s">
        <v>31</v>
      </c>
    </row>
    <row r="3" spans="1:8" x14ac:dyDescent="0.25">
      <c r="A3" s="11" t="s">
        <v>32</v>
      </c>
      <c r="D3" s="13">
        <f>Inputs!B13</f>
        <v>1.5</v>
      </c>
      <c r="E3" s="11" t="s">
        <v>33</v>
      </c>
      <c r="F3" s="13">
        <f>Inputs!B10</f>
        <v>0.24</v>
      </c>
    </row>
    <row r="5" spans="1:8" x14ac:dyDescent="0.25">
      <c r="A5" s="14" t="s">
        <v>34</v>
      </c>
      <c r="B5" s="3" t="s">
        <v>35</v>
      </c>
      <c r="C5" s="14" t="s">
        <v>36</v>
      </c>
      <c r="D5" s="3" t="s">
        <v>37</v>
      </c>
      <c r="E5" s="14" t="s">
        <v>38</v>
      </c>
      <c r="F5" s="3" t="s">
        <v>4</v>
      </c>
      <c r="G5" s="14" t="s">
        <v>39</v>
      </c>
      <c r="H5" s="3" t="s">
        <v>40</v>
      </c>
    </row>
    <row r="6" spans="1:8" x14ac:dyDescent="0.25">
      <c r="A6" s="15">
        <v>1</v>
      </c>
      <c r="B6" s="16" t="s">
        <v>41</v>
      </c>
      <c r="C6" s="17" t="s">
        <v>42</v>
      </c>
      <c r="D6" s="16" t="s">
        <v>43</v>
      </c>
      <c r="E6" s="17"/>
      <c r="F6" s="16"/>
      <c r="G6" s="17"/>
      <c r="H6" s="16"/>
    </row>
    <row r="7" spans="1:8" x14ac:dyDescent="0.25">
      <c r="A7" s="18">
        <v>2</v>
      </c>
      <c r="B7" s="6" t="s">
        <v>44</v>
      </c>
      <c r="C7" s="19" t="s">
        <v>42</v>
      </c>
      <c r="D7" s="6" t="s">
        <v>44</v>
      </c>
      <c r="E7" s="20">
        <v>500</v>
      </c>
      <c r="F7" s="6" t="s">
        <v>45</v>
      </c>
      <c r="G7" s="21">
        <f>IF(F7="% v/v",$D$3*1000*E7/100,E7*$D$3/Inputs!$B$9)</f>
        <v>7.5</v>
      </c>
      <c r="H7" s="19" t="s">
        <v>98</v>
      </c>
    </row>
    <row r="8" spans="1:8" x14ac:dyDescent="0.25">
      <c r="A8" s="15">
        <v>3</v>
      </c>
      <c r="B8" s="16" t="s">
        <v>47</v>
      </c>
      <c r="C8" s="17" t="s">
        <v>42</v>
      </c>
      <c r="D8" s="16" t="s">
        <v>47</v>
      </c>
      <c r="E8" s="22">
        <v>500</v>
      </c>
      <c r="F8" s="16" t="s">
        <v>45</v>
      </c>
      <c r="G8" s="23">
        <f>IF(F8="% v/v",$D$3*1000*E8/100,E8*$D$3/Inputs!$B$9)</f>
        <v>7.5</v>
      </c>
      <c r="H8" s="17" t="s">
        <v>98</v>
      </c>
    </row>
    <row r="9" spans="1:8" x14ac:dyDescent="0.25">
      <c r="A9" s="18">
        <v>4</v>
      </c>
      <c r="B9" s="6" t="s">
        <v>48</v>
      </c>
      <c r="C9" s="19" t="s">
        <v>42</v>
      </c>
      <c r="D9" s="6" t="s">
        <v>49</v>
      </c>
      <c r="E9" s="20">
        <v>240</v>
      </c>
      <c r="F9" s="6" t="s">
        <v>45</v>
      </c>
      <c r="G9" s="21">
        <f>IF(F9="% v/v",$D$3*1000*E9/100,E9*$D$3/Inputs!$B$9)</f>
        <v>3.6</v>
      </c>
      <c r="H9" s="19" t="s">
        <v>98</v>
      </c>
    </row>
    <row r="10" spans="1:8" x14ac:dyDescent="0.25">
      <c r="A10" s="18"/>
      <c r="B10" s="6"/>
      <c r="C10" s="19"/>
      <c r="D10" s="6" t="s">
        <v>50</v>
      </c>
      <c r="E10" s="20">
        <v>300</v>
      </c>
      <c r="F10" s="6" t="s">
        <v>45</v>
      </c>
      <c r="G10" s="21">
        <f>IF(F10="% v/v",$D$3*1000*E10/100,E10*$D$3/Inputs!$B$9)</f>
        <v>4.5</v>
      </c>
      <c r="H10" s="19" t="s">
        <v>98</v>
      </c>
    </row>
    <row r="11" spans="1:8" x14ac:dyDescent="0.25">
      <c r="A11" s="18"/>
      <c r="B11" s="6"/>
      <c r="C11" s="19"/>
      <c r="D11" s="6" t="s">
        <v>51</v>
      </c>
      <c r="E11" s="20">
        <v>0.25</v>
      </c>
      <c r="F11" s="6" t="s">
        <v>52</v>
      </c>
      <c r="G11" s="21">
        <f>IF(F11="% v/v",$D$3*1000*E11/100,E11*$D$3/Inputs!$B$9)</f>
        <v>3.75</v>
      </c>
      <c r="H11" s="19" t="s">
        <v>98</v>
      </c>
    </row>
    <row r="12" spans="1:8" x14ac:dyDescent="0.25">
      <c r="A12" s="15">
        <v>5</v>
      </c>
      <c r="B12" s="16" t="s">
        <v>49</v>
      </c>
      <c r="C12" s="17" t="s">
        <v>42</v>
      </c>
      <c r="D12" s="16" t="s">
        <v>49</v>
      </c>
      <c r="E12" s="22">
        <v>240</v>
      </c>
      <c r="F12" s="16" t="s">
        <v>45</v>
      </c>
      <c r="G12" s="23">
        <f>IF(F12="% v/v",$D$3*1000*E12/100,E12*$D$3/Inputs!$B$9)</f>
        <v>3.6</v>
      </c>
      <c r="H12" s="17" t="s">
        <v>98</v>
      </c>
    </row>
    <row r="13" spans="1:8" x14ac:dyDescent="0.25">
      <c r="A13" s="15"/>
      <c r="B13" s="16"/>
      <c r="C13" s="17"/>
      <c r="D13" s="16" t="s">
        <v>51</v>
      </c>
      <c r="E13" s="22">
        <v>0.25</v>
      </c>
      <c r="F13" s="16" t="s">
        <v>52</v>
      </c>
      <c r="G13" s="23">
        <f>IF(F13="% v/v",$D$3*1000*E13/100,E13*$D$3/Inputs!$B$9)</f>
        <v>3.75</v>
      </c>
      <c r="H13" s="17" t="s">
        <v>98</v>
      </c>
    </row>
    <row r="14" spans="1:8" x14ac:dyDescent="0.25">
      <c r="A14" s="18">
        <v>6</v>
      </c>
      <c r="B14" s="6" t="s">
        <v>53</v>
      </c>
      <c r="C14" s="19" t="s">
        <v>42</v>
      </c>
      <c r="D14" s="6" t="s">
        <v>53</v>
      </c>
      <c r="E14" s="20">
        <v>750</v>
      </c>
      <c r="F14" s="6" t="s">
        <v>45</v>
      </c>
      <c r="G14" s="21">
        <f>IF(F14="% v/v",$D$3*1000*E14/100,E14*$D$3/Inputs!$B$9)</f>
        <v>11.25</v>
      </c>
      <c r="H14" s="19" t="s">
        <v>98</v>
      </c>
    </row>
    <row r="15" spans="1:8" x14ac:dyDescent="0.25">
      <c r="A15" s="15">
        <v>7</v>
      </c>
      <c r="B15" s="16" t="s">
        <v>54</v>
      </c>
      <c r="C15" s="17" t="s">
        <v>42</v>
      </c>
      <c r="D15" s="16" t="s">
        <v>54</v>
      </c>
      <c r="E15" s="22">
        <v>750</v>
      </c>
      <c r="F15" s="16" t="s">
        <v>45</v>
      </c>
      <c r="G15" s="23">
        <f>IF(F15="% v/v",$D$3*1000*E15/100,E15*$D$3/Inputs!$B$9)</f>
        <v>11.25</v>
      </c>
      <c r="H15" s="17" t="s">
        <v>98</v>
      </c>
    </row>
    <row r="16" spans="1:8" x14ac:dyDescent="0.25">
      <c r="A16" s="18">
        <v>8</v>
      </c>
      <c r="B16" s="6" t="s">
        <v>55</v>
      </c>
      <c r="C16" s="19" t="s">
        <v>42</v>
      </c>
      <c r="D16" s="6" t="s">
        <v>55</v>
      </c>
      <c r="E16" s="20">
        <v>500</v>
      </c>
      <c r="F16" s="6" t="s">
        <v>45</v>
      </c>
      <c r="G16" s="21">
        <f>IF(F16="% v/v",$D$3*1000*E16/100,E16*$D$3/Inputs!$B$9)</f>
        <v>7.5</v>
      </c>
      <c r="H16" s="19" t="s">
        <v>98</v>
      </c>
    </row>
    <row r="17" spans="1:8" x14ac:dyDescent="0.25">
      <c r="A17" s="18"/>
      <c r="B17" s="6"/>
      <c r="C17" s="19"/>
      <c r="D17" s="6" t="s">
        <v>49</v>
      </c>
      <c r="E17" s="20">
        <v>240</v>
      </c>
      <c r="F17" s="6" t="s">
        <v>45</v>
      </c>
      <c r="G17" s="21">
        <f>IF(F17="% v/v",$D$3*1000*E17/100,E17*$D$3/Inputs!$B$9)</f>
        <v>3.6</v>
      </c>
      <c r="H17" s="19" t="s">
        <v>98</v>
      </c>
    </row>
    <row r="18" spans="1:8" x14ac:dyDescent="0.25">
      <c r="A18" s="18"/>
      <c r="B18" s="6"/>
      <c r="C18" s="19"/>
      <c r="D18" s="6" t="s">
        <v>51</v>
      </c>
      <c r="E18" s="20">
        <v>0.25</v>
      </c>
      <c r="F18" s="6" t="s">
        <v>52</v>
      </c>
      <c r="G18" s="21">
        <f>IF(F18="% v/v",$D$3*1000*E18/100,E18*$D$3/Inputs!$B$9)</f>
        <v>3.75</v>
      </c>
      <c r="H18" s="19" t="s">
        <v>98</v>
      </c>
    </row>
    <row r="19" spans="1:8" x14ac:dyDescent="0.25">
      <c r="A19" s="15">
        <v>9</v>
      </c>
      <c r="B19" s="16" t="s">
        <v>56</v>
      </c>
      <c r="C19" s="17" t="s">
        <v>42</v>
      </c>
      <c r="D19" s="16" t="s">
        <v>57</v>
      </c>
      <c r="E19" s="22">
        <v>500</v>
      </c>
      <c r="F19" s="16" t="s">
        <v>45</v>
      </c>
      <c r="G19" s="23">
        <f>IF(F19="% v/v",$D$3*1000*E19/100,E19*$D$3/Inputs!$B$9)</f>
        <v>7.5</v>
      </c>
      <c r="H19" s="17" t="s">
        <v>98</v>
      </c>
    </row>
    <row r="20" spans="1:8" x14ac:dyDescent="0.25">
      <c r="A20" s="15"/>
      <c r="B20" s="16"/>
      <c r="C20" s="17"/>
      <c r="D20" s="16" t="s">
        <v>49</v>
      </c>
      <c r="E20" s="22">
        <v>240</v>
      </c>
      <c r="F20" s="16" t="s">
        <v>45</v>
      </c>
      <c r="G20" s="23">
        <f>IF(F20="% v/v",$D$3*1000*E20/100,E20*$D$3/Inputs!$B$9)</f>
        <v>3.6</v>
      </c>
      <c r="H20" s="17" t="s">
        <v>98</v>
      </c>
    </row>
    <row r="21" spans="1:8" x14ac:dyDescent="0.25">
      <c r="A21" s="15"/>
      <c r="B21" s="16"/>
      <c r="C21" s="17"/>
      <c r="D21" s="16" t="s">
        <v>51</v>
      </c>
      <c r="E21" s="22">
        <v>0.25</v>
      </c>
      <c r="F21" s="16" t="s">
        <v>52</v>
      </c>
      <c r="G21" s="23">
        <f>IF(F21="% v/v",$D$3*1000*E21/100,E21*$D$3/Inputs!$B$9)</f>
        <v>3.75</v>
      </c>
      <c r="H21" s="17" t="s">
        <v>98</v>
      </c>
    </row>
    <row r="22" spans="1:8" x14ac:dyDescent="0.25">
      <c r="A22" s="18">
        <v>10</v>
      </c>
      <c r="B22" s="6" t="s">
        <v>58</v>
      </c>
      <c r="C22" s="19" t="s">
        <v>42</v>
      </c>
      <c r="D22" s="6" t="s">
        <v>55</v>
      </c>
      <c r="E22" s="20">
        <v>500</v>
      </c>
      <c r="F22" s="6" t="s">
        <v>45</v>
      </c>
      <c r="G22" s="21">
        <f>IF(F22="% v/v",$D$3*1000*E22/100,E22*$D$3/Inputs!$B$9)</f>
        <v>7.5</v>
      </c>
      <c r="H22" s="19" t="s">
        <v>98</v>
      </c>
    </row>
    <row r="23" spans="1:8" x14ac:dyDescent="0.25">
      <c r="A23" s="15">
        <v>11</v>
      </c>
      <c r="B23" s="16" t="s">
        <v>59</v>
      </c>
      <c r="C23" s="17" t="s">
        <v>42</v>
      </c>
      <c r="D23" s="16" t="s">
        <v>60</v>
      </c>
      <c r="E23" s="22">
        <v>750</v>
      </c>
      <c r="F23" s="16" t="s">
        <v>45</v>
      </c>
      <c r="G23" s="23">
        <f>IF(F23="% v/v",$D$3*1000*E23/100,E23*$D$3/Inputs!$B$9)</f>
        <v>11.25</v>
      </c>
      <c r="H23" s="17" t="s">
        <v>98</v>
      </c>
    </row>
    <row r="24" spans="1:8" x14ac:dyDescent="0.25">
      <c r="A24" s="18">
        <v>12</v>
      </c>
      <c r="B24" s="6" t="s">
        <v>61</v>
      </c>
      <c r="C24" s="19" t="s">
        <v>42</v>
      </c>
      <c r="D24" s="6" t="s">
        <v>49</v>
      </c>
      <c r="E24" s="20">
        <v>240</v>
      </c>
      <c r="F24" s="6" t="s">
        <v>45</v>
      </c>
      <c r="G24" s="21">
        <f>IF(F24="% v/v",$D$3*1000*E24/100,E24*$D$3/Inputs!$B$9)</f>
        <v>3.6</v>
      </c>
      <c r="H24" s="19" t="s">
        <v>98</v>
      </c>
    </row>
    <row r="25" spans="1:8" x14ac:dyDescent="0.25">
      <c r="A25" s="18"/>
      <c r="B25" s="6"/>
      <c r="C25" s="19"/>
      <c r="D25" s="6" t="s">
        <v>51</v>
      </c>
      <c r="E25" s="20">
        <v>0.25</v>
      </c>
      <c r="F25" s="6" t="s">
        <v>52</v>
      </c>
      <c r="G25" s="21">
        <f>IF(F25="% v/v",$D$3*1000*E25/100,E25*$D$3/Inputs!$B$9)</f>
        <v>3.75</v>
      </c>
      <c r="H25" s="19" t="s">
        <v>98</v>
      </c>
    </row>
    <row r="26" spans="1:8" x14ac:dyDescent="0.25">
      <c r="A26" s="15">
        <v>12</v>
      </c>
      <c r="B26" s="16" t="s">
        <v>61</v>
      </c>
      <c r="C26" s="17" t="s">
        <v>62</v>
      </c>
      <c r="D26" s="16" t="s">
        <v>54</v>
      </c>
      <c r="E26" s="22">
        <v>750</v>
      </c>
      <c r="F26" s="16" t="s">
        <v>45</v>
      </c>
      <c r="G26" s="23">
        <f>IF(F26="% v/v",$D$3*1000*E26/100,E26*$D$3/Inputs!$B$9)</f>
        <v>11.25</v>
      </c>
      <c r="H26" s="17" t="s">
        <v>46</v>
      </c>
    </row>
    <row r="27" spans="1:8" x14ac:dyDescent="0.25">
      <c r="A27" s="18">
        <v>13</v>
      </c>
      <c r="B27" s="6" t="s">
        <v>63</v>
      </c>
      <c r="C27" s="19" t="s">
        <v>42</v>
      </c>
      <c r="D27" s="6" t="s">
        <v>49</v>
      </c>
      <c r="E27" s="20">
        <v>240</v>
      </c>
      <c r="F27" s="6" t="s">
        <v>45</v>
      </c>
      <c r="G27" s="21">
        <f>IF(F27="% v/v",$D$3*1000*E27/100,E27*$D$3/Inputs!$B$9)</f>
        <v>3.6</v>
      </c>
      <c r="H27" s="19" t="s">
        <v>98</v>
      </c>
    </row>
    <row r="28" spans="1:8" x14ac:dyDescent="0.25">
      <c r="A28" s="18"/>
      <c r="B28" s="6"/>
      <c r="C28" s="19"/>
      <c r="D28" s="6" t="s">
        <v>51</v>
      </c>
      <c r="E28" s="20">
        <v>0.25</v>
      </c>
      <c r="F28" s="6" t="s">
        <v>52</v>
      </c>
      <c r="G28" s="21">
        <f>IF(F28="% v/v",$D$3*1000*E28/100,E28*$D$3/Inputs!$B$9)</f>
        <v>3.75</v>
      </c>
      <c r="H28" s="19" t="s">
        <v>98</v>
      </c>
    </row>
    <row r="29" spans="1:8" x14ac:dyDescent="0.25">
      <c r="A29" s="15">
        <v>13</v>
      </c>
      <c r="B29" s="16" t="s">
        <v>63</v>
      </c>
      <c r="C29" s="17" t="s">
        <v>62</v>
      </c>
      <c r="D29" s="16" t="s">
        <v>57</v>
      </c>
      <c r="E29" s="22">
        <v>500</v>
      </c>
      <c r="F29" s="16" t="s">
        <v>45</v>
      </c>
      <c r="G29" s="23">
        <f>IF(F29="% v/v",$D$3*1000*E29/100,E29*$D$3/Inputs!$B$9)</f>
        <v>7.5</v>
      </c>
      <c r="H29" s="17"/>
    </row>
    <row r="30" spans="1:8" x14ac:dyDescent="0.25">
      <c r="A30" s="15"/>
      <c r="B30" s="16"/>
      <c r="C30" s="17"/>
      <c r="D30" s="16" t="s">
        <v>49</v>
      </c>
      <c r="E30" s="22">
        <v>240</v>
      </c>
      <c r="F30" s="16" t="s">
        <v>45</v>
      </c>
      <c r="G30" s="23">
        <f>IF(F30="% v/v",$D$3*1000*E30/100,E30*$D$3/Inputs!$B$9)</f>
        <v>3.6</v>
      </c>
      <c r="H30" s="17" t="s">
        <v>46</v>
      </c>
    </row>
    <row r="31" spans="1:8" x14ac:dyDescent="0.25">
      <c r="A31" s="15"/>
      <c r="B31" s="16"/>
      <c r="C31" s="17"/>
      <c r="D31" s="16" t="s">
        <v>51</v>
      </c>
      <c r="E31" s="22">
        <v>0.25</v>
      </c>
      <c r="F31" s="16" t="s">
        <v>52</v>
      </c>
      <c r="G31" s="23">
        <f>IF(F31="% v/v",$D$3*1000*E31/100,E31*$D$3/Inputs!$B$9)</f>
        <v>3.75</v>
      </c>
      <c r="H31" s="17" t="s">
        <v>46</v>
      </c>
    </row>
    <row r="32" spans="1:8" x14ac:dyDescent="0.25">
      <c r="A32" s="18">
        <v>14</v>
      </c>
      <c r="B32" s="6" t="s">
        <v>64</v>
      </c>
      <c r="C32" s="19" t="s">
        <v>42</v>
      </c>
      <c r="D32" s="6" t="s">
        <v>49</v>
      </c>
      <c r="E32" s="20">
        <v>240</v>
      </c>
      <c r="F32" s="6" t="s">
        <v>45</v>
      </c>
      <c r="G32" s="21">
        <f>IF(F32="% v/v",$D$3*1000*E32/100,E32*$D$3/Inputs!$B$9)</f>
        <v>3.6</v>
      </c>
      <c r="H32" s="19" t="s">
        <v>98</v>
      </c>
    </row>
    <row r="33" spans="1:8" x14ac:dyDescent="0.25">
      <c r="A33" s="18"/>
      <c r="B33" s="6"/>
      <c r="C33" s="19"/>
      <c r="D33" s="6" t="s">
        <v>51</v>
      </c>
      <c r="E33" s="20">
        <v>0.25</v>
      </c>
      <c r="F33" s="6" t="s">
        <v>52</v>
      </c>
      <c r="G33" s="21">
        <f>IF(F33="% v/v",$D$3*1000*E33/100,E33*$D$3/Inputs!$B$9)</f>
        <v>3.75</v>
      </c>
      <c r="H33" s="19" t="s">
        <v>98</v>
      </c>
    </row>
    <row r="34" spans="1:8" x14ac:dyDescent="0.25">
      <c r="A34" s="15">
        <v>14</v>
      </c>
      <c r="B34" s="16" t="s">
        <v>64</v>
      </c>
      <c r="C34" s="17" t="s">
        <v>62</v>
      </c>
      <c r="D34" s="16" t="s">
        <v>55</v>
      </c>
      <c r="E34" s="22">
        <v>500</v>
      </c>
      <c r="F34" s="16" t="s">
        <v>45</v>
      </c>
      <c r="G34" s="23">
        <f>IF(F34="% v/v",$D$3*1000*E34/100,E34*$D$3/Inputs!$B$9)</f>
        <v>7.5</v>
      </c>
      <c r="H34" s="17" t="s">
        <v>46</v>
      </c>
    </row>
    <row r="35" spans="1:8" x14ac:dyDescent="0.25">
      <c r="A35" s="15"/>
      <c r="B35" s="16"/>
      <c r="C35" s="17"/>
      <c r="D35" s="16" t="s">
        <v>49</v>
      </c>
      <c r="E35" s="22">
        <v>240</v>
      </c>
      <c r="F35" s="16" t="s">
        <v>45</v>
      </c>
      <c r="G35" s="23">
        <f>IF(F35="% v/v",$D$3*1000*E35/100,E35*$D$3/Inputs!$B$9)</f>
        <v>3.6</v>
      </c>
      <c r="H35" s="17" t="s">
        <v>46</v>
      </c>
    </row>
    <row r="36" spans="1:8" x14ac:dyDescent="0.25">
      <c r="A36" s="15"/>
      <c r="B36" s="16"/>
      <c r="C36" s="17"/>
      <c r="D36" s="16" t="s">
        <v>51</v>
      </c>
      <c r="E36" s="22">
        <v>0.25</v>
      </c>
      <c r="F36" s="16" t="s">
        <v>52</v>
      </c>
      <c r="G36" s="23">
        <f>IF(F36="% v/v",$D$3*1000*E36/100,E36*$D$3/Inputs!$B$9)</f>
        <v>3.75</v>
      </c>
      <c r="H36" s="17" t="s">
        <v>46</v>
      </c>
    </row>
    <row r="37" spans="1:8" x14ac:dyDescent="0.25">
      <c r="A37" s="18">
        <v>15</v>
      </c>
      <c r="B37" s="6" t="s">
        <v>65</v>
      </c>
      <c r="C37" s="19" t="s">
        <v>42</v>
      </c>
      <c r="D37" s="6" t="s">
        <v>49</v>
      </c>
      <c r="E37" s="20">
        <v>240</v>
      </c>
      <c r="F37" s="6" t="s">
        <v>45</v>
      </c>
      <c r="G37" s="21">
        <f>IF(F37="% v/v",$D$3*1000*E37/100,E37*$D$3/Inputs!$B$9)</f>
        <v>3.6</v>
      </c>
      <c r="H37" s="19" t="s">
        <v>98</v>
      </c>
    </row>
    <row r="38" spans="1:8" x14ac:dyDescent="0.25">
      <c r="A38" s="18"/>
      <c r="B38" s="6"/>
      <c r="C38" s="19"/>
      <c r="D38" s="6" t="s">
        <v>51</v>
      </c>
      <c r="E38" s="20">
        <v>0.25</v>
      </c>
      <c r="F38" s="6" t="s">
        <v>52</v>
      </c>
      <c r="G38" s="21">
        <f>IF(F38="% v/v",$D$3*1000*E38/100,E38*$D$3/Inputs!$B$9)</f>
        <v>3.75</v>
      </c>
      <c r="H38" s="19" t="s">
        <v>98</v>
      </c>
    </row>
    <row r="39" spans="1:8" x14ac:dyDescent="0.25">
      <c r="A39" s="15">
        <v>15</v>
      </c>
      <c r="B39" s="16" t="s">
        <v>65</v>
      </c>
      <c r="C39" s="17" t="s">
        <v>62</v>
      </c>
      <c r="D39" s="16" t="s">
        <v>60</v>
      </c>
      <c r="E39" s="22">
        <v>750</v>
      </c>
      <c r="F39" s="16" t="s">
        <v>45</v>
      </c>
      <c r="G39" s="23">
        <f>IF(F39="% v/v",$D$3*1000*E39/100,E39*$D$3/Inputs!$B$9)</f>
        <v>11.25</v>
      </c>
      <c r="H39" s="17" t="s">
        <v>46</v>
      </c>
    </row>
    <row r="42" spans="1:8" x14ac:dyDescent="0.25">
      <c r="A42" s="11" t="s">
        <v>66</v>
      </c>
    </row>
    <row r="43" spans="1:8" x14ac:dyDescent="0.25">
      <c r="A43" s="24" t="s">
        <v>37</v>
      </c>
      <c r="B43" s="24" t="s">
        <v>67</v>
      </c>
    </row>
    <row r="44" spans="1:8" x14ac:dyDescent="0.25">
      <c r="A44" s="6" t="s">
        <v>44</v>
      </c>
      <c r="B44" s="25">
        <f t="shared" ref="B44:B53" si="0">SUMIF($D$6:$D$39,A44,$G$6:$G$39)</f>
        <v>7.5</v>
      </c>
    </row>
    <row r="45" spans="1:8" x14ac:dyDescent="0.25">
      <c r="A45" s="6" t="s">
        <v>50</v>
      </c>
      <c r="B45" s="25">
        <f t="shared" si="0"/>
        <v>4.5</v>
      </c>
    </row>
    <row r="46" spans="1:8" x14ac:dyDescent="0.25">
      <c r="A46" s="6" t="s">
        <v>51</v>
      </c>
      <c r="B46" s="25">
        <f t="shared" si="0"/>
        <v>37.5</v>
      </c>
    </row>
    <row r="47" spans="1:8" x14ac:dyDescent="0.25">
      <c r="A47" s="6" t="s">
        <v>54</v>
      </c>
      <c r="B47" s="25">
        <f t="shared" si="0"/>
        <v>22.5</v>
      </c>
    </row>
    <row r="48" spans="1:8" x14ac:dyDescent="0.25">
      <c r="A48" s="6" t="s">
        <v>60</v>
      </c>
      <c r="B48" s="25">
        <f t="shared" si="0"/>
        <v>22.5</v>
      </c>
    </row>
    <row r="49" spans="1:2" x14ac:dyDescent="0.25">
      <c r="A49" s="6" t="s">
        <v>47</v>
      </c>
      <c r="B49" s="25">
        <f t="shared" si="0"/>
        <v>7.5</v>
      </c>
    </row>
    <row r="50" spans="1:2" x14ac:dyDescent="0.25">
      <c r="A50" s="6" t="s">
        <v>55</v>
      </c>
      <c r="B50" s="25">
        <f t="shared" si="0"/>
        <v>22.5</v>
      </c>
    </row>
    <row r="51" spans="1:2" x14ac:dyDescent="0.25">
      <c r="A51" s="6" t="s">
        <v>49</v>
      </c>
      <c r="B51" s="25">
        <f t="shared" si="0"/>
        <v>36.000000000000007</v>
      </c>
    </row>
    <row r="52" spans="1:2" x14ac:dyDescent="0.25">
      <c r="A52" s="6" t="s">
        <v>53</v>
      </c>
      <c r="B52" s="25">
        <f t="shared" si="0"/>
        <v>11.25</v>
      </c>
    </row>
    <row r="53" spans="1:2" x14ac:dyDescent="0.25">
      <c r="A53" s="6" t="s">
        <v>57</v>
      </c>
      <c r="B53" s="25">
        <f t="shared" si="0"/>
        <v>15</v>
      </c>
    </row>
    <row r="55" spans="1:2" x14ac:dyDescent="0.25">
      <c r="A55" s="12" t="s">
        <v>68</v>
      </c>
    </row>
    <row r="56" spans="1:2" x14ac:dyDescent="0.25">
      <c r="A56" s="12" t="s">
        <v>69</v>
      </c>
    </row>
    <row r="57" spans="1:2" x14ac:dyDescent="0.25">
      <c r="A57" s="12" t="s">
        <v>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9"/>
  <sheetViews>
    <sheetView showGridLines="0" zoomScaleNormal="100" workbookViewId="0">
      <pane ySplit="5" topLeftCell="A11" activePane="bottomLeft" state="frozen"/>
      <selection pane="bottomLeft" activeCell="A43" sqref="A43:XFD43"/>
    </sheetView>
  </sheetViews>
  <sheetFormatPr defaultColWidth="8.7109375" defaultRowHeight="15" x14ac:dyDescent="0.25"/>
  <cols>
    <col min="1" max="1" width="6" customWidth="1"/>
    <col min="2" max="2" width="20" customWidth="1"/>
    <col min="3" max="3" width="8" customWidth="1"/>
    <col min="4" max="4" width="24" customWidth="1"/>
    <col min="5" max="6" width="9" customWidth="1"/>
    <col min="7" max="7" width="15" customWidth="1"/>
    <col min="8" max="8" width="8" customWidth="1"/>
  </cols>
  <sheetData>
    <row r="1" spans="1:8" x14ac:dyDescent="0.25">
      <c r="A1" s="1" t="s">
        <v>0</v>
      </c>
    </row>
    <row r="2" spans="1:8" ht="18" x14ac:dyDescent="0.25">
      <c r="A2" s="2" t="s">
        <v>71</v>
      </c>
    </row>
    <row r="3" spans="1:8" x14ac:dyDescent="0.25">
      <c r="A3" s="11" t="s">
        <v>32</v>
      </c>
      <c r="D3" s="13">
        <f>Inputs!B13</f>
        <v>1.5</v>
      </c>
      <c r="E3" s="11" t="s">
        <v>33</v>
      </c>
      <c r="F3" s="13">
        <f>Inputs!B10</f>
        <v>0.24</v>
      </c>
    </row>
    <row r="5" spans="1:8" x14ac:dyDescent="0.25">
      <c r="A5" s="14" t="s">
        <v>34</v>
      </c>
      <c r="B5" s="3" t="s">
        <v>35</v>
      </c>
      <c r="C5" s="14" t="s">
        <v>36</v>
      </c>
      <c r="D5" s="3" t="s">
        <v>37</v>
      </c>
      <c r="E5" s="14" t="s">
        <v>38</v>
      </c>
      <c r="F5" s="3" t="s">
        <v>4</v>
      </c>
      <c r="G5" s="14" t="s">
        <v>39</v>
      </c>
      <c r="H5" s="3" t="s">
        <v>40</v>
      </c>
    </row>
    <row r="6" spans="1:8" x14ac:dyDescent="0.25">
      <c r="A6" s="15">
        <v>1</v>
      </c>
      <c r="B6" s="16" t="s">
        <v>41</v>
      </c>
      <c r="C6" s="17" t="s">
        <v>42</v>
      </c>
      <c r="D6" s="16" t="s">
        <v>43</v>
      </c>
      <c r="E6" s="17"/>
      <c r="F6" s="16"/>
      <c r="G6" s="17"/>
      <c r="H6" s="16"/>
    </row>
    <row r="7" spans="1:8" x14ac:dyDescent="0.25">
      <c r="A7" s="18">
        <v>2</v>
      </c>
      <c r="B7" s="6" t="s">
        <v>44</v>
      </c>
      <c r="C7" s="19" t="s">
        <v>42</v>
      </c>
      <c r="D7" s="6" t="s">
        <v>44</v>
      </c>
      <c r="E7" s="20">
        <v>500</v>
      </c>
      <c r="F7" s="6" t="s">
        <v>45</v>
      </c>
      <c r="G7" s="21">
        <f>IF(F7="% v/v",$D$3*1000*E7/100,E7*$D$3/Inputs!$B$9)</f>
        <v>7.5</v>
      </c>
      <c r="H7" s="19" t="s">
        <v>98</v>
      </c>
    </row>
    <row r="8" spans="1:8" x14ac:dyDescent="0.25">
      <c r="A8" s="15">
        <v>3</v>
      </c>
      <c r="B8" s="16" t="s">
        <v>47</v>
      </c>
      <c r="C8" s="17" t="s">
        <v>42</v>
      </c>
      <c r="D8" s="16" t="s">
        <v>47</v>
      </c>
      <c r="E8" s="22">
        <v>500</v>
      </c>
      <c r="F8" s="16" t="s">
        <v>45</v>
      </c>
      <c r="G8" s="23">
        <f>IF(F8="% v/v",$D$3*1000*E8/100,E8*$D$3/Inputs!$B$9)</f>
        <v>7.5</v>
      </c>
      <c r="H8" s="17" t="s">
        <v>98</v>
      </c>
    </row>
    <row r="9" spans="1:8" x14ac:dyDescent="0.25">
      <c r="A9" s="18">
        <v>4</v>
      </c>
      <c r="B9" s="6" t="s">
        <v>72</v>
      </c>
      <c r="C9" s="19" t="s">
        <v>42</v>
      </c>
      <c r="D9" s="6" t="s">
        <v>72</v>
      </c>
      <c r="E9" s="20">
        <v>750</v>
      </c>
      <c r="F9" s="6" t="s">
        <v>45</v>
      </c>
      <c r="G9" s="21">
        <f>IF(F9="% v/v",$D$3*1000*E9/100,E9*$D$3/Inputs!$B$9)</f>
        <v>11.25</v>
      </c>
      <c r="H9" s="19" t="s">
        <v>98</v>
      </c>
    </row>
    <row r="10" spans="1:8" x14ac:dyDescent="0.25">
      <c r="A10" s="15">
        <v>5</v>
      </c>
      <c r="B10" s="16" t="s">
        <v>73</v>
      </c>
      <c r="C10" s="17" t="s">
        <v>42</v>
      </c>
      <c r="D10" s="16" t="s">
        <v>74</v>
      </c>
      <c r="E10" s="22">
        <v>320</v>
      </c>
      <c r="F10" s="16" t="s">
        <v>45</v>
      </c>
      <c r="G10" s="23">
        <f>IF(F10="% v/v",$D$3*1000*E10/100,E10*$D$3/Inputs!$B$9)</f>
        <v>4.8</v>
      </c>
      <c r="H10" s="17" t="s">
        <v>98</v>
      </c>
    </row>
    <row r="11" spans="1:8" x14ac:dyDescent="0.25">
      <c r="A11" s="15"/>
      <c r="B11" s="16"/>
      <c r="C11" s="17"/>
      <c r="D11" s="16" t="s">
        <v>75</v>
      </c>
      <c r="E11" s="22">
        <v>125</v>
      </c>
      <c r="F11" s="16" t="s">
        <v>45</v>
      </c>
      <c r="G11" s="23">
        <f>IF(F11="% v/v",$D$3*1000*E11/100,E11*$D$3/Inputs!$B$9)</f>
        <v>1.875</v>
      </c>
      <c r="H11" s="17" t="s">
        <v>98</v>
      </c>
    </row>
    <row r="12" spans="1:8" x14ac:dyDescent="0.25">
      <c r="A12" s="15"/>
      <c r="B12" s="16"/>
      <c r="C12" s="17"/>
      <c r="D12" s="16" t="s">
        <v>76</v>
      </c>
      <c r="E12" s="22">
        <v>0.5</v>
      </c>
      <c r="F12" s="16" t="s">
        <v>52</v>
      </c>
      <c r="G12" s="23">
        <f>IF(F12="% v/v",$D$3*1000*E12/100,E12*$D$3/Inputs!$B$9)</f>
        <v>7.5</v>
      </c>
      <c r="H12" s="17" t="s">
        <v>98</v>
      </c>
    </row>
    <row r="13" spans="1:8" x14ac:dyDescent="0.25">
      <c r="A13" s="18">
        <v>6</v>
      </c>
      <c r="B13" s="6" t="s">
        <v>49</v>
      </c>
      <c r="C13" s="19" t="s">
        <v>42</v>
      </c>
      <c r="D13" s="6" t="s">
        <v>99</v>
      </c>
      <c r="E13" s="20">
        <v>240</v>
      </c>
      <c r="F13" s="6" t="s">
        <v>45</v>
      </c>
      <c r="G13" s="21">
        <f>IF(F13="% v/v",$D$3*1000*E13/100,E13*$D$3/Inputs!$B$9)</f>
        <v>3.6</v>
      </c>
      <c r="H13" s="19" t="s">
        <v>98</v>
      </c>
    </row>
    <row r="14" spans="1:8" x14ac:dyDescent="0.25">
      <c r="A14" s="18"/>
      <c r="B14" s="6"/>
      <c r="C14" s="19"/>
      <c r="D14" s="6" t="s">
        <v>51</v>
      </c>
      <c r="E14" s="20">
        <v>0.25</v>
      </c>
      <c r="F14" s="6" t="s">
        <v>52</v>
      </c>
      <c r="G14" s="21">
        <f>IF(F14="% v/v",$D$3*1000*E14/100,E14*$D$3/Inputs!$B$9)</f>
        <v>3.75</v>
      </c>
      <c r="H14" s="19" t="s">
        <v>98</v>
      </c>
    </row>
    <row r="15" spans="1:8" x14ac:dyDescent="0.25">
      <c r="A15" s="15">
        <v>7</v>
      </c>
      <c r="B15" s="16" t="s">
        <v>53</v>
      </c>
      <c r="C15" s="17" t="s">
        <v>42</v>
      </c>
      <c r="D15" s="16" t="s">
        <v>53</v>
      </c>
      <c r="E15" s="22">
        <v>750</v>
      </c>
      <c r="F15" s="16" t="s">
        <v>45</v>
      </c>
      <c r="G15" s="23">
        <f>IF(F15="% v/v",$D$3*1000*E15/100,E15*$D$3/Inputs!$B$9)</f>
        <v>11.25</v>
      </c>
      <c r="H15" s="17" t="s">
        <v>98</v>
      </c>
    </row>
    <row r="16" spans="1:8" x14ac:dyDescent="0.25">
      <c r="A16" s="18">
        <v>8</v>
      </c>
      <c r="B16" s="6" t="s">
        <v>77</v>
      </c>
      <c r="C16" s="19" t="s">
        <v>42</v>
      </c>
      <c r="D16" s="6" t="s">
        <v>54</v>
      </c>
      <c r="E16" s="20">
        <v>750</v>
      </c>
      <c r="F16" s="6" t="s">
        <v>45</v>
      </c>
      <c r="G16" s="21">
        <f>IF(F16="% v/v",$D$3*1000*E16/100,E16*$D$3/Inputs!$B$9)</f>
        <v>11.25</v>
      </c>
      <c r="H16" s="19" t="s">
        <v>98</v>
      </c>
    </row>
    <row r="17" spans="1:8" x14ac:dyDescent="0.25">
      <c r="A17" s="15">
        <v>9</v>
      </c>
      <c r="B17" s="16" t="s">
        <v>78</v>
      </c>
      <c r="C17" s="17" t="s">
        <v>42</v>
      </c>
      <c r="D17" s="16" t="s">
        <v>79</v>
      </c>
      <c r="E17" s="22">
        <v>150</v>
      </c>
      <c r="F17" s="16" t="s">
        <v>45</v>
      </c>
      <c r="G17" s="23">
        <f>IF(F17="% v/v",$D$3*1000*E17/100,E17*$D$3/Inputs!$B$9)</f>
        <v>2.25</v>
      </c>
      <c r="H17" s="17" t="s">
        <v>98</v>
      </c>
    </row>
    <row r="18" spans="1:8" x14ac:dyDescent="0.25">
      <c r="A18" s="15"/>
      <c r="B18" s="16"/>
      <c r="C18" s="17"/>
      <c r="D18" s="16" t="s">
        <v>49</v>
      </c>
      <c r="E18" s="22">
        <v>240</v>
      </c>
      <c r="F18" s="16" t="s">
        <v>45</v>
      </c>
      <c r="G18" s="23">
        <f>IF(F18="% v/v",$D$3*1000*E18/100,E18*$D$3/Inputs!$B$9)</f>
        <v>3.6</v>
      </c>
      <c r="H18" s="17" t="s">
        <v>98</v>
      </c>
    </row>
    <row r="19" spans="1:8" x14ac:dyDescent="0.25">
      <c r="A19" s="15"/>
      <c r="B19" s="16"/>
      <c r="C19" s="17"/>
      <c r="D19" s="16" t="s">
        <v>51</v>
      </c>
      <c r="E19" s="22">
        <v>0.25</v>
      </c>
      <c r="F19" s="16" t="s">
        <v>52</v>
      </c>
      <c r="G19" s="23">
        <f>IF(F19="% v/v",$D$3*1000*E19/100,E19*$D$3/Inputs!$B$9)</f>
        <v>3.75</v>
      </c>
      <c r="H19" s="17" t="s">
        <v>98</v>
      </c>
    </row>
    <row r="20" spans="1:8" x14ac:dyDescent="0.25">
      <c r="A20" s="18">
        <v>10</v>
      </c>
      <c r="B20" s="6" t="s">
        <v>80</v>
      </c>
      <c r="C20" s="19" t="s">
        <v>42</v>
      </c>
      <c r="D20" s="6" t="s">
        <v>81</v>
      </c>
      <c r="E20" s="20">
        <v>150</v>
      </c>
      <c r="F20" s="6" t="s">
        <v>45</v>
      </c>
      <c r="G20" s="21">
        <f>IF(F20="% v/v",$D$3*1000*E20/100,E20*$D$3/Inputs!$B$9)</f>
        <v>2.25</v>
      </c>
      <c r="H20" s="19" t="s">
        <v>98</v>
      </c>
    </row>
    <row r="21" spans="1:8" x14ac:dyDescent="0.25">
      <c r="A21" s="18"/>
      <c r="B21" s="6"/>
      <c r="C21" s="19"/>
      <c r="D21" s="6" t="s">
        <v>49</v>
      </c>
      <c r="E21" s="20">
        <v>240</v>
      </c>
      <c r="F21" s="6" t="s">
        <v>45</v>
      </c>
      <c r="G21" s="21">
        <f>IF(F21="% v/v",$D$3*1000*E21/100,E21*$D$3/Inputs!$B$9)</f>
        <v>3.6</v>
      </c>
      <c r="H21" s="19" t="s">
        <v>98</v>
      </c>
    </row>
    <row r="22" spans="1:8" x14ac:dyDescent="0.25">
      <c r="A22" s="18"/>
      <c r="B22" s="6"/>
      <c r="C22" s="19"/>
      <c r="D22" s="6" t="s">
        <v>51</v>
      </c>
      <c r="E22" s="20">
        <v>0.25</v>
      </c>
      <c r="F22" s="6" t="s">
        <v>52</v>
      </c>
      <c r="G22" s="21">
        <f>IF(F22="% v/v",$D$3*1000*E22/100,E22*$D$3/Inputs!$B$9)</f>
        <v>3.75</v>
      </c>
      <c r="H22" s="19" t="s">
        <v>98</v>
      </c>
    </row>
    <row r="23" spans="1:8" x14ac:dyDescent="0.25">
      <c r="A23" s="15">
        <v>11</v>
      </c>
      <c r="B23" s="16" t="s">
        <v>82</v>
      </c>
      <c r="C23" s="17" t="s">
        <v>42</v>
      </c>
      <c r="D23" s="16" t="s">
        <v>57</v>
      </c>
      <c r="E23" s="22">
        <v>300</v>
      </c>
      <c r="F23" s="16" t="s">
        <v>45</v>
      </c>
      <c r="G23" s="23">
        <f>IF(F23="% v/v",$D$3*1000*E23/100,E23*$D$3/Inputs!$B$9)</f>
        <v>4.5</v>
      </c>
      <c r="H23" s="17" t="s">
        <v>98</v>
      </c>
    </row>
    <row r="24" spans="1:8" x14ac:dyDescent="0.25">
      <c r="A24" s="15"/>
      <c r="B24" s="16"/>
      <c r="C24" s="17"/>
      <c r="D24" s="16" t="s">
        <v>49</v>
      </c>
      <c r="E24" s="22">
        <v>240</v>
      </c>
      <c r="F24" s="16" t="s">
        <v>45</v>
      </c>
      <c r="G24" s="23">
        <f>IF(F24="% v/v",$D$3*1000*E24/100,E24*$D$3/Inputs!$B$9)</f>
        <v>3.6</v>
      </c>
      <c r="H24" s="17" t="s">
        <v>98</v>
      </c>
    </row>
    <row r="25" spans="1:8" x14ac:dyDescent="0.25">
      <c r="A25" s="15"/>
      <c r="B25" s="16"/>
      <c r="C25" s="17"/>
      <c r="D25" s="16" t="s">
        <v>51</v>
      </c>
      <c r="E25" s="22">
        <v>0.25</v>
      </c>
      <c r="F25" s="16" t="s">
        <v>52</v>
      </c>
      <c r="G25" s="23">
        <f>IF(F25="% v/v",$D$3*1000*E25/100,E25*$D$3/Inputs!$B$9)</f>
        <v>3.75</v>
      </c>
      <c r="H25" s="17" t="s">
        <v>98</v>
      </c>
    </row>
    <row r="26" spans="1:8" x14ac:dyDescent="0.25">
      <c r="A26" s="18">
        <v>12</v>
      </c>
      <c r="B26" s="6" t="s">
        <v>56</v>
      </c>
      <c r="C26" s="19" t="s">
        <v>42</v>
      </c>
      <c r="D26" s="6" t="s">
        <v>57</v>
      </c>
      <c r="E26" s="20">
        <v>500</v>
      </c>
      <c r="F26" s="6" t="s">
        <v>45</v>
      </c>
      <c r="G26" s="21">
        <f>IF(F26="% v/v",$D$3*1000*E26/100,E26*$D$3/Inputs!$B$9)</f>
        <v>7.5</v>
      </c>
      <c r="H26" s="19" t="s">
        <v>98</v>
      </c>
    </row>
    <row r="27" spans="1:8" x14ac:dyDescent="0.25">
      <c r="A27" s="18"/>
      <c r="B27" s="6"/>
      <c r="C27" s="19"/>
      <c r="D27" s="6" t="s">
        <v>49</v>
      </c>
      <c r="E27" s="20">
        <v>240</v>
      </c>
      <c r="F27" s="6" t="s">
        <v>45</v>
      </c>
      <c r="G27" s="21">
        <f>IF(F27="% v/v",$D$3*1000*E27/100,E27*$D$3/Inputs!$B$9)</f>
        <v>3.6</v>
      </c>
      <c r="H27" s="19" t="s">
        <v>98</v>
      </c>
    </row>
    <row r="28" spans="1:8" x14ac:dyDescent="0.25">
      <c r="A28" s="18"/>
      <c r="B28" s="6"/>
      <c r="C28" s="19"/>
      <c r="D28" s="6" t="s">
        <v>51</v>
      </c>
      <c r="E28" s="20">
        <v>0.25</v>
      </c>
      <c r="F28" s="6" t="s">
        <v>52</v>
      </c>
      <c r="G28" s="21">
        <f>IF(F28="% v/v",$D$3*1000*E28/100,E28*$D$3/Inputs!$B$9)</f>
        <v>3.75</v>
      </c>
      <c r="H28" s="19" t="s">
        <v>98</v>
      </c>
    </row>
    <row r="29" spans="1:8" x14ac:dyDescent="0.25">
      <c r="A29" s="15">
        <v>13</v>
      </c>
      <c r="B29" s="16" t="s">
        <v>58</v>
      </c>
      <c r="C29" s="17" t="s">
        <v>42</v>
      </c>
      <c r="D29" s="16" t="s">
        <v>55</v>
      </c>
      <c r="E29" s="22">
        <v>500</v>
      </c>
      <c r="F29" s="16" t="s">
        <v>45</v>
      </c>
      <c r="G29" s="23">
        <f>IF(F29="% v/v",$D$3*1000*E29/100,E29*$D$3/Inputs!$B$9)</f>
        <v>7.5</v>
      </c>
      <c r="H29" s="17" t="s">
        <v>98</v>
      </c>
    </row>
    <row r="30" spans="1:8" x14ac:dyDescent="0.25">
      <c r="A30" s="15"/>
      <c r="B30" s="16"/>
      <c r="C30" s="17"/>
      <c r="D30" s="16" t="s">
        <v>49</v>
      </c>
      <c r="E30" s="22">
        <v>240</v>
      </c>
      <c r="F30" s="16" t="s">
        <v>45</v>
      </c>
      <c r="G30" s="23">
        <f>IF(F30="% v/v",$D$3*1000*E30/100,E30*$D$3/Inputs!$B$9)</f>
        <v>3.6</v>
      </c>
      <c r="H30" s="17" t="s">
        <v>98</v>
      </c>
    </row>
    <row r="31" spans="1:8" x14ac:dyDescent="0.25">
      <c r="A31" s="15"/>
      <c r="B31" s="16"/>
      <c r="C31" s="17"/>
      <c r="D31" s="16" t="s">
        <v>51</v>
      </c>
      <c r="E31" s="22">
        <v>0.25</v>
      </c>
      <c r="F31" s="16" t="s">
        <v>52</v>
      </c>
      <c r="G31" s="23">
        <f>IF(F31="% v/v",$D$3*1000*E31/100,E31*$D$3/Inputs!$B$9)</f>
        <v>3.75</v>
      </c>
      <c r="H31" s="17" t="s">
        <v>98</v>
      </c>
    </row>
    <row r="32" spans="1:8" x14ac:dyDescent="0.25">
      <c r="A32" s="18">
        <v>14</v>
      </c>
      <c r="B32" s="6" t="s">
        <v>59</v>
      </c>
      <c r="C32" s="19" t="s">
        <v>42</v>
      </c>
      <c r="D32" s="6" t="s">
        <v>60</v>
      </c>
      <c r="E32" s="20">
        <v>750</v>
      </c>
      <c r="F32" s="6" t="s">
        <v>45</v>
      </c>
      <c r="G32" s="21">
        <f>IF(F32="% v/v",$D$3*1000*E32/100,E32*$D$3/Inputs!$B$9)</f>
        <v>11.25</v>
      </c>
      <c r="H32" s="19" t="s">
        <v>98</v>
      </c>
    </row>
    <row r="33" spans="1:8" x14ac:dyDescent="0.25">
      <c r="A33" s="15">
        <v>15</v>
      </c>
      <c r="B33" s="16" t="s">
        <v>61</v>
      </c>
      <c r="C33" s="17" t="s">
        <v>42</v>
      </c>
      <c r="D33" s="16" t="s">
        <v>75</v>
      </c>
      <c r="E33" s="22">
        <v>125</v>
      </c>
      <c r="F33" s="16" t="s">
        <v>45</v>
      </c>
      <c r="G33" s="23">
        <f>IF(F33="% v/v",$D$3*1000*E33/100,E33*$D$3/Inputs!$B$9)</f>
        <v>1.875</v>
      </c>
      <c r="H33" s="17" t="s">
        <v>98</v>
      </c>
    </row>
    <row r="34" spans="1:8" x14ac:dyDescent="0.25">
      <c r="A34" s="18">
        <v>16</v>
      </c>
      <c r="B34" s="6" t="s">
        <v>83</v>
      </c>
      <c r="C34" s="19" t="s">
        <v>42</v>
      </c>
      <c r="D34" s="6" t="s">
        <v>75</v>
      </c>
      <c r="E34" s="20">
        <v>125</v>
      </c>
      <c r="F34" s="6" t="s">
        <v>45</v>
      </c>
      <c r="G34" s="21">
        <f>IF(F34="% v/v",$D$3*1000*E34/100,E34*$D$3/Inputs!$B$9)</f>
        <v>1.875</v>
      </c>
      <c r="H34" s="19" t="s">
        <v>98</v>
      </c>
    </row>
    <row r="35" spans="1:8" x14ac:dyDescent="0.25">
      <c r="A35" s="15">
        <v>17</v>
      </c>
      <c r="B35" s="16" t="s">
        <v>84</v>
      </c>
      <c r="C35" s="17" t="s">
        <v>42</v>
      </c>
      <c r="D35" s="16" t="s">
        <v>75</v>
      </c>
      <c r="E35" s="22">
        <v>125</v>
      </c>
      <c r="F35" s="16" t="s">
        <v>45</v>
      </c>
      <c r="G35" s="23">
        <f>IF(F35="% v/v",$D$3*1000*E35/100,E35*$D$3/Inputs!$B$9)</f>
        <v>1.875</v>
      </c>
      <c r="H35" s="17" t="s">
        <v>98</v>
      </c>
    </row>
    <row r="36" spans="1:8" x14ac:dyDescent="0.25">
      <c r="A36" s="18">
        <v>18</v>
      </c>
      <c r="B36" s="6" t="s">
        <v>63</v>
      </c>
      <c r="C36" s="19" t="s">
        <v>42</v>
      </c>
      <c r="D36" s="6" t="s">
        <v>75</v>
      </c>
      <c r="E36" s="20">
        <v>125</v>
      </c>
      <c r="F36" s="6" t="s">
        <v>45</v>
      </c>
      <c r="G36" s="21">
        <f>IF(F36="% v/v",$D$3*1000*E36/100,E36*$D$3/Inputs!$B$9)</f>
        <v>1.875</v>
      </c>
      <c r="H36" s="19" t="s">
        <v>98</v>
      </c>
    </row>
    <row r="37" spans="1:8" x14ac:dyDescent="0.25">
      <c r="A37" s="15">
        <v>19</v>
      </c>
      <c r="B37" s="16" t="s">
        <v>64</v>
      </c>
      <c r="C37" s="17" t="s">
        <v>42</v>
      </c>
      <c r="D37" s="16" t="s">
        <v>75</v>
      </c>
      <c r="E37" s="22">
        <v>125</v>
      </c>
      <c r="F37" s="16" t="s">
        <v>45</v>
      </c>
      <c r="G37" s="23">
        <f>IF(F37="% v/v",$D$3*1000*E37/100,E37*$D$3/Inputs!$B$9)</f>
        <v>1.875</v>
      </c>
      <c r="H37" s="17" t="s">
        <v>98</v>
      </c>
    </row>
    <row r="38" spans="1:8" x14ac:dyDescent="0.25">
      <c r="A38" s="18">
        <v>20</v>
      </c>
      <c r="B38" s="6" t="s">
        <v>65</v>
      </c>
      <c r="C38" s="19" t="s">
        <v>42</v>
      </c>
      <c r="D38" s="6" t="s">
        <v>75</v>
      </c>
      <c r="E38" s="20">
        <v>125</v>
      </c>
      <c r="F38" s="6" t="s">
        <v>45</v>
      </c>
      <c r="G38" s="21">
        <f>IF(F38="% v/v",$D$3*1000*E38/100,E38*$D$3/Inputs!$B$9)</f>
        <v>1.875</v>
      </c>
      <c r="H38" s="19" t="s">
        <v>98</v>
      </c>
    </row>
    <row r="39" spans="1:8" x14ac:dyDescent="0.25">
      <c r="A39" s="15">
        <v>21</v>
      </c>
      <c r="B39" s="16" t="s">
        <v>85</v>
      </c>
      <c r="C39" s="17" t="s">
        <v>42</v>
      </c>
      <c r="D39" s="16" t="s">
        <v>86</v>
      </c>
      <c r="E39" s="22">
        <v>500</v>
      </c>
      <c r="F39" s="16" t="s">
        <v>45</v>
      </c>
      <c r="G39" s="23">
        <f>IF(F39="% v/v",$D$3*1000*E39/100,E39*$D$3/Inputs!$B$9)</f>
        <v>7.5</v>
      </c>
      <c r="H39" s="17" t="s">
        <v>98</v>
      </c>
    </row>
    <row r="40" spans="1:8" x14ac:dyDescent="0.25">
      <c r="A40" s="18">
        <v>22</v>
      </c>
      <c r="B40" s="6" t="s">
        <v>87</v>
      </c>
      <c r="C40" s="19" t="s">
        <v>42</v>
      </c>
      <c r="D40" s="6" t="s">
        <v>86</v>
      </c>
      <c r="E40" s="20">
        <v>500</v>
      </c>
      <c r="F40" s="6" t="s">
        <v>45</v>
      </c>
      <c r="G40" s="21">
        <f>IF(F40="% v/v",$D$3*1000*E40/100,E40*$D$3/Inputs!$B$9)</f>
        <v>7.5</v>
      </c>
      <c r="H40" s="19" t="s">
        <v>98</v>
      </c>
    </row>
    <row r="41" spans="1:8" x14ac:dyDescent="0.25">
      <c r="A41" s="15">
        <v>23</v>
      </c>
      <c r="B41" s="16" t="s">
        <v>88</v>
      </c>
      <c r="C41" s="17" t="s">
        <v>42</v>
      </c>
      <c r="D41" s="16" t="s">
        <v>54</v>
      </c>
      <c r="E41" s="22">
        <v>750</v>
      </c>
      <c r="F41" s="16" t="s">
        <v>45</v>
      </c>
      <c r="G41" s="23">
        <f>IF(F41="% v/v",$D$3*1000*E41/100,E41*$D$3/Inputs!$B$9)</f>
        <v>11.25</v>
      </c>
      <c r="H41" s="17" t="s">
        <v>98</v>
      </c>
    </row>
    <row r="42" spans="1:8" x14ac:dyDescent="0.25">
      <c r="A42" s="18">
        <v>24</v>
      </c>
      <c r="B42" s="6" t="s">
        <v>89</v>
      </c>
      <c r="C42" s="19" t="s">
        <v>42</v>
      </c>
      <c r="D42" s="6" t="s">
        <v>75</v>
      </c>
      <c r="E42" s="20">
        <v>125</v>
      </c>
      <c r="F42" s="6" t="s">
        <v>45</v>
      </c>
      <c r="G42" s="21">
        <f>IF(F42="% v/v",$D$3*1000*E42/100,E42*$D$3/Inputs!$B$9)</f>
        <v>1.875</v>
      </c>
      <c r="H42" s="19" t="s">
        <v>98</v>
      </c>
    </row>
    <row r="43" spans="1:8" x14ac:dyDescent="0.25">
      <c r="A43" s="18"/>
      <c r="B43" s="6"/>
      <c r="C43" s="19"/>
      <c r="D43" s="6"/>
      <c r="E43" s="20"/>
      <c r="F43" s="6"/>
      <c r="G43" s="21"/>
      <c r="H43" s="19"/>
    </row>
    <row r="44" spans="1:8" x14ac:dyDescent="0.25">
      <c r="A44" s="15">
        <v>2</v>
      </c>
      <c r="B44" s="16" t="s">
        <v>44</v>
      </c>
      <c r="C44" s="17" t="s">
        <v>62</v>
      </c>
      <c r="D44" s="16" t="s">
        <v>75</v>
      </c>
      <c r="E44" s="22">
        <v>125</v>
      </c>
      <c r="F44" s="16" t="s">
        <v>45</v>
      </c>
      <c r="G44" s="23">
        <f>IF(F44="% v/v",$D$3*1000*E44/100,E44*$D$3/Inputs!$B$9)</f>
        <v>1.875</v>
      </c>
      <c r="H44" s="17" t="s">
        <v>46</v>
      </c>
    </row>
    <row r="45" spans="1:8" x14ac:dyDescent="0.25">
      <c r="A45" s="18">
        <v>3</v>
      </c>
      <c r="B45" s="6" t="s">
        <v>47</v>
      </c>
      <c r="C45" s="19" t="s">
        <v>62</v>
      </c>
      <c r="D45" s="6" t="s">
        <v>75</v>
      </c>
      <c r="E45" s="20">
        <v>125</v>
      </c>
      <c r="F45" s="6" t="s">
        <v>45</v>
      </c>
      <c r="G45" s="21">
        <f>IF(F45="% v/v",$D$3*1000*E45/100,E45*$D$3/Inputs!$B$9)</f>
        <v>1.875</v>
      </c>
      <c r="H45" s="19" t="s">
        <v>46</v>
      </c>
    </row>
    <row r="46" spans="1:8" x14ac:dyDescent="0.25">
      <c r="A46" s="15">
        <v>4</v>
      </c>
      <c r="B46" s="16" t="s">
        <v>72</v>
      </c>
      <c r="C46" s="17" t="s">
        <v>62</v>
      </c>
      <c r="D46" s="16" t="s">
        <v>75</v>
      </c>
      <c r="E46" s="22">
        <v>125</v>
      </c>
      <c r="F46" s="16" t="s">
        <v>45</v>
      </c>
      <c r="G46" s="23">
        <f>IF(F46="% v/v",$D$3*1000*E46/100,E46*$D$3/Inputs!$B$9)</f>
        <v>1.875</v>
      </c>
      <c r="H46" s="17" t="s">
        <v>46</v>
      </c>
    </row>
    <row r="47" spans="1:8" x14ac:dyDescent="0.25">
      <c r="A47" s="18">
        <v>5</v>
      </c>
      <c r="B47" s="6" t="s">
        <v>90</v>
      </c>
      <c r="C47" s="19" t="s">
        <v>62</v>
      </c>
      <c r="D47" s="6" t="s">
        <v>75</v>
      </c>
      <c r="E47" s="20">
        <v>125</v>
      </c>
      <c r="F47" s="6" t="s">
        <v>45</v>
      </c>
      <c r="G47" s="21">
        <f>IF(F47="% v/v",$D$3*1000*E47/100,E47*$D$3/Inputs!$B$9)</f>
        <v>1.875</v>
      </c>
      <c r="H47" s="19" t="s">
        <v>46</v>
      </c>
    </row>
    <row r="48" spans="1:8" x14ac:dyDescent="0.25">
      <c r="A48" s="15">
        <v>6</v>
      </c>
      <c r="B48" s="16" t="s">
        <v>49</v>
      </c>
      <c r="C48" s="17" t="s">
        <v>62</v>
      </c>
      <c r="D48" s="16" t="s">
        <v>75</v>
      </c>
      <c r="E48" s="22">
        <v>125</v>
      </c>
      <c r="F48" s="16" t="s">
        <v>45</v>
      </c>
      <c r="G48" s="23">
        <f>IF(F48="% v/v",$D$3*1000*E48/100,E48*$D$3/Inputs!$B$9)</f>
        <v>1.875</v>
      </c>
      <c r="H48" s="17" t="s">
        <v>46</v>
      </c>
    </row>
    <row r="49" spans="1:8" x14ac:dyDescent="0.25">
      <c r="A49" s="18">
        <v>7</v>
      </c>
      <c r="B49" s="6" t="s">
        <v>53</v>
      </c>
      <c r="C49" s="19" t="s">
        <v>62</v>
      </c>
      <c r="D49" s="6" t="s">
        <v>75</v>
      </c>
      <c r="E49" s="20">
        <v>125</v>
      </c>
      <c r="F49" s="6" t="s">
        <v>45</v>
      </c>
      <c r="G49" s="21">
        <f>IF(F49="% v/v",$D$3*1000*E49/100,E49*$D$3/Inputs!$B$9)</f>
        <v>1.875</v>
      </c>
      <c r="H49" s="19" t="s">
        <v>46</v>
      </c>
    </row>
    <row r="50" spans="1:8" x14ac:dyDescent="0.25">
      <c r="A50" s="15">
        <v>8</v>
      </c>
      <c r="B50" s="16" t="s">
        <v>77</v>
      </c>
      <c r="C50" s="17" t="s">
        <v>62</v>
      </c>
      <c r="D50" s="16" t="s">
        <v>75</v>
      </c>
      <c r="E50" s="22">
        <v>125</v>
      </c>
      <c r="F50" s="16" t="s">
        <v>45</v>
      </c>
      <c r="G50" s="23">
        <f>IF(F50="% v/v",$D$3*1000*E50/100,E50*$D$3/Inputs!$B$9)</f>
        <v>1.875</v>
      </c>
      <c r="H50" s="17" t="s">
        <v>46</v>
      </c>
    </row>
    <row r="51" spans="1:8" x14ac:dyDescent="0.25">
      <c r="A51" s="18">
        <v>9</v>
      </c>
      <c r="B51" s="6" t="s">
        <v>78</v>
      </c>
      <c r="C51" s="19" t="s">
        <v>62</v>
      </c>
      <c r="D51" s="6" t="s">
        <v>75</v>
      </c>
      <c r="E51" s="20">
        <v>125</v>
      </c>
      <c r="F51" s="6" t="s">
        <v>45</v>
      </c>
      <c r="G51" s="21">
        <f>IF(F51="% v/v",$D$3*1000*E51/100,E51*$D$3/Inputs!$B$9)</f>
        <v>1.875</v>
      </c>
      <c r="H51" s="19" t="s">
        <v>46</v>
      </c>
    </row>
    <row r="52" spans="1:8" x14ac:dyDescent="0.25">
      <c r="A52" s="15">
        <v>10</v>
      </c>
      <c r="B52" s="16" t="s">
        <v>80</v>
      </c>
      <c r="C52" s="17" t="s">
        <v>62</v>
      </c>
      <c r="D52" s="16" t="s">
        <v>75</v>
      </c>
      <c r="E52" s="22">
        <v>125</v>
      </c>
      <c r="F52" s="16" t="s">
        <v>45</v>
      </c>
      <c r="G52" s="23">
        <f>IF(F52="% v/v",$D$3*1000*E52/100,E52*$D$3/Inputs!$B$9)</f>
        <v>1.875</v>
      </c>
      <c r="H52" s="17" t="s">
        <v>46</v>
      </c>
    </row>
    <row r="53" spans="1:8" x14ac:dyDescent="0.25">
      <c r="A53" s="18">
        <v>11</v>
      </c>
      <c r="B53" s="6" t="s">
        <v>82</v>
      </c>
      <c r="C53" s="19" t="s">
        <v>62</v>
      </c>
      <c r="D53" s="6" t="s">
        <v>75</v>
      </c>
      <c r="E53" s="20">
        <v>125</v>
      </c>
      <c r="F53" s="6" t="s">
        <v>45</v>
      </c>
      <c r="G53" s="21">
        <f>IF(F53="% v/v",$D$3*1000*E53/100,E53*$D$3/Inputs!$B$9)</f>
        <v>1.875</v>
      </c>
      <c r="H53" s="19" t="s">
        <v>46</v>
      </c>
    </row>
    <row r="54" spans="1:8" x14ac:dyDescent="0.25">
      <c r="A54" s="15">
        <v>12</v>
      </c>
      <c r="B54" s="16" t="s">
        <v>56</v>
      </c>
      <c r="C54" s="17" t="s">
        <v>62</v>
      </c>
      <c r="D54" s="16" t="s">
        <v>75</v>
      </c>
      <c r="E54" s="22">
        <v>125</v>
      </c>
      <c r="F54" s="16" t="s">
        <v>45</v>
      </c>
      <c r="G54" s="23">
        <f>IF(F54="% v/v",$D$3*1000*E54/100,E54*$D$3/Inputs!$B$9)</f>
        <v>1.875</v>
      </c>
      <c r="H54" s="17" t="s">
        <v>46</v>
      </c>
    </row>
    <row r="55" spans="1:8" x14ac:dyDescent="0.25">
      <c r="A55" s="18">
        <v>13</v>
      </c>
      <c r="B55" s="6" t="s">
        <v>58</v>
      </c>
      <c r="C55" s="19" t="s">
        <v>62</v>
      </c>
      <c r="D55" s="6" t="s">
        <v>75</v>
      </c>
      <c r="E55" s="20">
        <v>125</v>
      </c>
      <c r="F55" s="6" t="s">
        <v>45</v>
      </c>
      <c r="G55" s="21">
        <f>IF(F55="% v/v",$D$3*1000*E55/100,E55*$D$3/Inputs!$B$9)</f>
        <v>1.875</v>
      </c>
      <c r="H55" s="19" t="s">
        <v>46</v>
      </c>
    </row>
    <row r="56" spans="1:8" x14ac:dyDescent="0.25">
      <c r="A56" s="15">
        <v>14</v>
      </c>
      <c r="B56" s="16" t="s">
        <v>59</v>
      </c>
      <c r="C56" s="17" t="s">
        <v>62</v>
      </c>
      <c r="D56" s="16" t="s">
        <v>75</v>
      </c>
      <c r="E56" s="22">
        <v>125</v>
      </c>
      <c r="F56" s="16" t="s">
        <v>45</v>
      </c>
      <c r="G56" s="23">
        <f>IF(F56="% v/v",$D$3*1000*E56/100,E56*$D$3/Inputs!$B$9)</f>
        <v>1.875</v>
      </c>
      <c r="H56" s="17" t="s">
        <v>46</v>
      </c>
    </row>
    <row r="57" spans="1:8" x14ac:dyDescent="0.25">
      <c r="A57" s="18">
        <v>15</v>
      </c>
      <c r="B57" s="6" t="s">
        <v>61</v>
      </c>
      <c r="C57" s="19" t="s">
        <v>62</v>
      </c>
      <c r="D57" s="6" t="s">
        <v>54</v>
      </c>
      <c r="E57" s="20">
        <v>750</v>
      </c>
      <c r="F57" s="6" t="s">
        <v>45</v>
      </c>
      <c r="G57" s="21">
        <f>IF(F57="% v/v",$D$3*1000*E57/100,E57*$D$3/Inputs!$B$9)</f>
        <v>11.25</v>
      </c>
      <c r="H57" s="19" t="s">
        <v>46</v>
      </c>
    </row>
    <row r="58" spans="1:8" x14ac:dyDescent="0.25">
      <c r="A58" s="15">
        <v>16</v>
      </c>
      <c r="B58" s="16" t="s">
        <v>83</v>
      </c>
      <c r="C58" s="17" t="s">
        <v>62</v>
      </c>
      <c r="D58" s="16" t="s">
        <v>79</v>
      </c>
      <c r="E58" s="22">
        <v>150</v>
      </c>
      <c r="F58" s="16" t="s">
        <v>45</v>
      </c>
      <c r="G58" s="23">
        <f>IF(F58="% v/v",$D$3*1000*E58/100,E58*$D$3/Inputs!$B$9)</f>
        <v>2.25</v>
      </c>
      <c r="H58" s="17" t="s">
        <v>46</v>
      </c>
    </row>
    <row r="59" spans="1:8" x14ac:dyDescent="0.25">
      <c r="A59" s="15"/>
      <c r="B59" s="16"/>
      <c r="C59" s="17"/>
      <c r="D59" s="16" t="s">
        <v>91</v>
      </c>
      <c r="E59" s="22">
        <v>300</v>
      </c>
      <c r="F59" s="16" t="s">
        <v>45</v>
      </c>
      <c r="G59" s="23">
        <f>IF(F59="% v/v",$D$3*1000*E59/100,E59*$D$3/Inputs!$B$9)</f>
        <v>4.5</v>
      </c>
      <c r="H59" s="17" t="s">
        <v>46</v>
      </c>
    </row>
    <row r="60" spans="1:8" x14ac:dyDescent="0.25">
      <c r="A60" s="15"/>
      <c r="B60" s="16"/>
      <c r="C60" s="17"/>
      <c r="D60" s="16" t="s">
        <v>51</v>
      </c>
      <c r="E60" s="22">
        <v>0.25</v>
      </c>
      <c r="F60" s="16" t="s">
        <v>52</v>
      </c>
      <c r="G60" s="23">
        <f>IF(F60="% v/v",$D$3*1000*E60/100,E60*$D$3/Inputs!$B$9)</f>
        <v>3.75</v>
      </c>
      <c r="H60" s="17" t="s">
        <v>46</v>
      </c>
    </row>
    <row r="61" spans="1:8" x14ac:dyDescent="0.25">
      <c r="A61" s="18">
        <v>17</v>
      </c>
      <c r="B61" s="6" t="s">
        <v>84</v>
      </c>
      <c r="C61" s="19" t="s">
        <v>62</v>
      </c>
      <c r="D61" s="6" t="s">
        <v>57</v>
      </c>
      <c r="E61" s="20">
        <v>300</v>
      </c>
      <c r="F61" s="6" t="s">
        <v>45</v>
      </c>
      <c r="G61" s="21">
        <f>IF(F61="% v/v",$D$3*1000*E61/100,E61*$D$3/Inputs!$B$9)</f>
        <v>4.5</v>
      </c>
      <c r="H61" s="19" t="s">
        <v>46</v>
      </c>
    </row>
    <row r="62" spans="1:8" x14ac:dyDescent="0.25">
      <c r="A62" s="18"/>
      <c r="B62" s="6"/>
      <c r="C62" s="19"/>
      <c r="D62" s="6" t="s">
        <v>91</v>
      </c>
      <c r="E62" s="20">
        <v>300</v>
      </c>
      <c r="F62" s="6" t="s">
        <v>45</v>
      </c>
      <c r="G62" s="21">
        <f>IF(F62="% v/v",$D$3*1000*E62/100,E62*$D$3/Inputs!$B$9)</f>
        <v>4.5</v>
      </c>
      <c r="H62" s="19" t="s">
        <v>46</v>
      </c>
    </row>
    <row r="63" spans="1:8" x14ac:dyDescent="0.25">
      <c r="A63" s="18"/>
      <c r="B63" s="6"/>
      <c r="C63" s="19"/>
      <c r="D63" s="6" t="s">
        <v>51</v>
      </c>
      <c r="E63" s="20">
        <v>0.25</v>
      </c>
      <c r="F63" s="6" t="s">
        <v>52</v>
      </c>
      <c r="G63" s="21">
        <f>IF(F63="% v/v",$D$3*1000*E63/100,E63*$D$3/Inputs!$B$9)</f>
        <v>3.75</v>
      </c>
      <c r="H63" s="19" t="s">
        <v>46</v>
      </c>
    </row>
    <row r="64" spans="1:8" x14ac:dyDescent="0.25">
      <c r="A64" s="15">
        <v>18</v>
      </c>
      <c r="B64" s="16" t="s">
        <v>63</v>
      </c>
      <c r="C64" s="17" t="s">
        <v>62</v>
      </c>
      <c r="D64" s="16" t="s">
        <v>57</v>
      </c>
      <c r="E64" s="22">
        <v>500</v>
      </c>
      <c r="F64" s="16" t="s">
        <v>45</v>
      </c>
      <c r="G64" s="23">
        <f>IF(F64="% v/v",$D$3*1000*E64/100,E64*$D$3/Inputs!$B$9)</f>
        <v>7.5</v>
      </c>
      <c r="H64" s="17" t="s">
        <v>46</v>
      </c>
    </row>
    <row r="65" spans="1:8" x14ac:dyDescent="0.25">
      <c r="A65" s="15"/>
      <c r="B65" s="16"/>
      <c r="C65" s="17"/>
      <c r="D65" s="16" t="s">
        <v>91</v>
      </c>
      <c r="E65" s="22">
        <v>300</v>
      </c>
      <c r="F65" s="16" t="s">
        <v>45</v>
      </c>
      <c r="G65" s="23">
        <f>IF(F65="% v/v",$D$3*1000*E65/100,E65*$D$3/Inputs!$B$9)</f>
        <v>4.5</v>
      </c>
      <c r="H65" s="17" t="s">
        <v>46</v>
      </c>
    </row>
    <row r="66" spans="1:8" x14ac:dyDescent="0.25">
      <c r="A66" s="15"/>
      <c r="B66" s="16"/>
      <c r="C66" s="17"/>
      <c r="D66" s="16" t="s">
        <v>51</v>
      </c>
      <c r="E66" s="22">
        <v>0.25</v>
      </c>
      <c r="F66" s="16" t="s">
        <v>52</v>
      </c>
      <c r="G66" s="23">
        <f>IF(F66="% v/v",$D$3*1000*E66/100,E66*$D$3/Inputs!$B$9)</f>
        <v>3.75</v>
      </c>
      <c r="H66" s="17" t="s">
        <v>46</v>
      </c>
    </row>
    <row r="67" spans="1:8" x14ac:dyDescent="0.25">
      <c r="A67" s="18">
        <v>19</v>
      </c>
      <c r="B67" s="6" t="s">
        <v>64</v>
      </c>
      <c r="C67" s="19" t="s">
        <v>62</v>
      </c>
      <c r="D67" s="6" t="s">
        <v>55</v>
      </c>
      <c r="E67" s="20">
        <v>500</v>
      </c>
      <c r="F67" s="6" t="s">
        <v>45</v>
      </c>
      <c r="G67" s="21">
        <f>IF(F67="% v/v",$D$3*1000*E67/100,E67*$D$3/Inputs!$B$9)</f>
        <v>7.5</v>
      </c>
      <c r="H67" s="19" t="s">
        <v>46</v>
      </c>
    </row>
    <row r="68" spans="1:8" x14ac:dyDescent="0.25">
      <c r="A68" s="18"/>
      <c r="B68" s="6"/>
      <c r="C68" s="19"/>
      <c r="D68" s="6" t="s">
        <v>91</v>
      </c>
      <c r="E68" s="20">
        <v>300</v>
      </c>
      <c r="F68" s="6" t="s">
        <v>45</v>
      </c>
      <c r="G68" s="21">
        <f>IF(F68="% v/v",$D$3*1000*E68/100,E68*$D$3/Inputs!$B$9)</f>
        <v>4.5</v>
      </c>
      <c r="H68" s="19" t="s">
        <v>46</v>
      </c>
    </row>
    <row r="69" spans="1:8" x14ac:dyDescent="0.25">
      <c r="A69" s="18"/>
      <c r="B69" s="6"/>
      <c r="C69" s="19"/>
      <c r="D69" s="6" t="s">
        <v>51</v>
      </c>
      <c r="E69" s="20">
        <v>0.25</v>
      </c>
      <c r="F69" s="6" t="s">
        <v>52</v>
      </c>
      <c r="G69" s="21">
        <f>IF(F69="% v/v",$D$3*1000*E69/100,E69*$D$3/Inputs!$B$9)</f>
        <v>3.75</v>
      </c>
      <c r="H69" s="19" t="s">
        <v>46</v>
      </c>
    </row>
    <row r="70" spans="1:8" x14ac:dyDescent="0.25">
      <c r="A70" s="15">
        <v>20</v>
      </c>
      <c r="B70" s="16" t="s">
        <v>65</v>
      </c>
      <c r="C70" s="17" t="s">
        <v>62</v>
      </c>
      <c r="D70" s="16" t="s">
        <v>60</v>
      </c>
      <c r="E70" s="22">
        <v>750</v>
      </c>
      <c r="F70" s="16" t="s">
        <v>45</v>
      </c>
      <c r="G70" s="23">
        <f>IF(F70="% v/v",$D$3*1000*E70/100,E70*$D$3/Inputs!$B$9)</f>
        <v>11.25</v>
      </c>
      <c r="H70" s="17" t="s">
        <v>46</v>
      </c>
    </row>
    <row r="71" spans="1:8" x14ac:dyDescent="0.25">
      <c r="A71" s="18">
        <v>21</v>
      </c>
      <c r="B71" s="6" t="s">
        <v>85</v>
      </c>
      <c r="C71" s="19" t="s">
        <v>62</v>
      </c>
      <c r="D71" s="6" t="s">
        <v>86</v>
      </c>
      <c r="E71" s="20">
        <v>500</v>
      </c>
      <c r="F71" s="6" t="s">
        <v>45</v>
      </c>
      <c r="G71" s="21">
        <f>IF(F71="% v/v",$D$3*1000*E71/100,E71*$D$3/Inputs!$B$9)</f>
        <v>7.5</v>
      </c>
      <c r="H71" s="19" t="s">
        <v>46</v>
      </c>
    </row>
    <row r="74" spans="1:8" x14ac:dyDescent="0.25">
      <c r="A74" s="11" t="s">
        <v>66</v>
      </c>
    </row>
    <row r="75" spans="1:8" x14ac:dyDescent="0.25">
      <c r="A75" s="24" t="s">
        <v>37</v>
      </c>
      <c r="B75" s="24" t="s">
        <v>67</v>
      </c>
    </row>
    <row r="76" spans="1:8" x14ac:dyDescent="0.25">
      <c r="A76" s="6" t="s">
        <v>74</v>
      </c>
      <c r="B76" s="25">
        <f t="shared" ref="B76:B92" si="0">SUMIF($D$6:$D$71,A76,$G$6:$G$71)</f>
        <v>4.8</v>
      </c>
    </row>
    <row r="77" spans="1:8" x14ac:dyDescent="0.25">
      <c r="A77" s="6" t="s">
        <v>44</v>
      </c>
      <c r="B77" s="25">
        <f t="shared" si="0"/>
        <v>7.5</v>
      </c>
    </row>
    <row r="78" spans="1:8" x14ac:dyDescent="0.25">
      <c r="A78" s="6" t="s">
        <v>51</v>
      </c>
      <c r="B78" s="25">
        <f t="shared" si="0"/>
        <v>37.5</v>
      </c>
    </row>
    <row r="79" spans="1:8" x14ac:dyDescent="0.25">
      <c r="A79" s="6" t="s">
        <v>54</v>
      </c>
      <c r="B79" s="25">
        <f t="shared" si="0"/>
        <v>33.75</v>
      </c>
    </row>
    <row r="80" spans="1:8" x14ac:dyDescent="0.25">
      <c r="A80" s="6" t="s">
        <v>60</v>
      </c>
      <c r="B80" s="25">
        <f t="shared" si="0"/>
        <v>22.5</v>
      </c>
    </row>
    <row r="81" spans="1:2" x14ac:dyDescent="0.25">
      <c r="A81" s="6" t="s">
        <v>47</v>
      </c>
      <c r="B81" s="25">
        <f t="shared" si="0"/>
        <v>7.5</v>
      </c>
    </row>
    <row r="82" spans="1:2" x14ac:dyDescent="0.25">
      <c r="A82" s="6" t="s">
        <v>55</v>
      </c>
      <c r="B82" s="25">
        <f t="shared" si="0"/>
        <v>15</v>
      </c>
    </row>
    <row r="83" spans="1:2" x14ac:dyDescent="0.25">
      <c r="A83" s="6" t="s">
        <v>79</v>
      </c>
      <c r="B83" s="25">
        <f t="shared" si="0"/>
        <v>4.5</v>
      </c>
    </row>
    <row r="84" spans="1:2" x14ac:dyDescent="0.25">
      <c r="A84" s="6" t="s">
        <v>81</v>
      </c>
      <c r="B84" s="25">
        <f t="shared" si="0"/>
        <v>2.25</v>
      </c>
    </row>
    <row r="85" spans="1:2" x14ac:dyDescent="0.25">
      <c r="A85" s="6" t="s">
        <v>76</v>
      </c>
      <c r="B85" s="25">
        <f t="shared" si="0"/>
        <v>7.5</v>
      </c>
    </row>
    <row r="86" spans="1:2" x14ac:dyDescent="0.25">
      <c r="A86" s="6" t="s">
        <v>86</v>
      </c>
      <c r="B86" s="25">
        <f t="shared" si="0"/>
        <v>22.5</v>
      </c>
    </row>
    <row r="87" spans="1:2" x14ac:dyDescent="0.25">
      <c r="A87" s="6" t="s">
        <v>72</v>
      </c>
      <c r="B87" s="25">
        <f t="shared" si="0"/>
        <v>11.25</v>
      </c>
    </row>
    <row r="88" spans="1:2" x14ac:dyDescent="0.25">
      <c r="A88" s="6" t="s">
        <v>91</v>
      </c>
      <c r="B88" s="25">
        <f t="shared" si="0"/>
        <v>18</v>
      </c>
    </row>
    <row r="89" spans="1:2" x14ac:dyDescent="0.25">
      <c r="A89" s="6" t="s">
        <v>49</v>
      </c>
      <c r="B89" s="25">
        <f t="shared" si="0"/>
        <v>18</v>
      </c>
    </row>
    <row r="90" spans="1:2" x14ac:dyDescent="0.25">
      <c r="A90" s="6" t="s">
        <v>53</v>
      </c>
      <c r="B90" s="25">
        <f t="shared" si="0"/>
        <v>11.25</v>
      </c>
    </row>
    <row r="91" spans="1:2" x14ac:dyDescent="0.25">
      <c r="A91" s="6" t="s">
        <v>75</v>
      </c>
      <c r="B91" s="25">
        <f t="shared" si="0"/>
        <v>39.375</v>
      </c>
    </row>
    <row r="92" spans="1:2" x14ac:dyDescent="0.25">
      <c r="A92" s="6" t="s">
        <v>57</v>
      </c>
      <c r="B92" s="25">
        <f t="shared" si="0"/>
        <v>24</v>
      </c>
    </row>
    <row r="94" spans="1:2" x14ac:dyDescent="0.25">
      <c r="A94" s="12" t="s">
        <v>92</v>
      </c>
    </row>
    <row r="95" spans="1:2" x14ac:dyDescent="0.25">
      <c r="A95" s="12" t="s">
        <v>93</v>
      </c>
    </row>
    <row r="96" spans="1:2" x14ac:dyDescent="0.25">
      <c r="A96" s="12" t="s">
        <v>94</v>
      </c>
    </row>
    <row r="97" spans="1:1" x14ac:dyDescent="0.25">
      <c r="A97" s="12" t="s">
        <v>95</v>
      </c>
    </row>
    <row r="98" spans="1:1" x14ac:dyDescent="0.25">
      <c r="A98" s="12" t="s">
        <v>96</v>
      </c>
    </row>
    <row r="99" spans="1:1" x14ac:dyDescent="0.25">
      <c r="A99" s="12" t="s">
        <v>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Barley Mixing</vt:lpstr>
      <vt:lpstr>Wheat Mixing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Andrew Rolfe</cp:lastModifiedBy>
  <cp:revision>0</cp:revision>
  <dcterms:created xsi:type="dcterms:W3CDTF">2026-08-06T22:27:44Z</dcterms:created>
  <dcterms:modified xsi:type="dcterms:W3CDTF">2026-08-09T00:34:05Z</dcterms:modified>
  <dc:language>en-US</dc:language>
</cp:coreProperties>
</file>