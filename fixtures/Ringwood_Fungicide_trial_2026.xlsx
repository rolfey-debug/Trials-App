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Wheat Mixing" sheetId="2" state="visible" r:id="rId4"/>
    <sheet name="Ringwood Wheat Plots" sheetId="3" state="visible" r:id="rId5"/>
    <sheet name="Ringwood App Reco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<sst xmlns="http://schemas.openxmlformats.org/spreadsheetml/2006/main" count="450" uniqueCount="148">
  <si>
    <t xml:space="preserve">AGnVET Services — IK Caldwell</t>
  </si>
  <si>
    <t xml:space="preserve">2026 Fungicide Trials — Ringwood — Mixing Plan</t>
  </si>
  <si>
    <t xml:space="preserve">Parameter</t>
  </si>
  <si>
    <t xml:space="preserve">Value</t>
  </si>
  <si>
    <t xml:space="preserve">Unit</t>
  </si>
  <si>
    <t xml:space="preserve">Basis</t>
  </si>
  <si>
    <t xml:space="preserve">Plot width</t>
  </si>
  <si>
    <t xml:space="preserve">m</t>
  </si>
  <si>
    <t xml:space="preserve">Trial spec</t>
  </si>
  <si>
    <t xml:space="preserve">Plot length</t>
  </si>
  <si>
    <t xml:space="preserve">Plot area</t>
  </si>
  <si>
    <t xml:space="preserve">m²</t>
  </si>
  <si>
    <t xml:space="preserve">width × length</t>
  </si>
  <si>
    <t xml:space="preserve">Replicates</t>
  </si>
  <si>
    <t xml:space="preserve">no.</t>
  </si>
  <si>
    <t xml:space="preserve">Ringwood wheat — 3 reps (68 clean plots, 4 marginals used)</t>
  </si>
  <si>
    <t xml:space="preserve">Water rate</t>
  </si>
  <si>
    <t xml:space="preserve">L/ha</t>
  </si>
  <si>
    <t xml:space="preserve">Water required per plot</t>
  </si>
  <si>
    <t xml:space="preserve">L</t>
  </si>
  <si>
    <t xml:space="preserve">plot area ÷ 10,000 × water rate</t>
  </si>
  <si>
    <t xml:space="preserve">Water required per treatment</t>
  </si>
  <si>
    <t xml:space="preserve">per plot × replicates</t>
  </si>
  <si>
    <t xml:space="preserve">Overage per batch</t>
  </si>
  <si>
    <t xml:space="preserve">Priming / dead volume — adjust to suit sprayer</t>
  </si>
  <si>
    <t xml:space="preserve">BATCH VOLUME PER TREATMENT</t>
  </si>
  <si>
    <t xml:space="preserve">required + overage. Drives every ml figure.</t>
  </si>
  <si>
    <t xml:space="preserve">Legend</t>
  </si>
  <si>
    <t xml:space="preserve">Yellow / blue cells are inputs — change these only. Everything else is a formula.</t>
  </si>
  <si>
    <t xml:space="preserve">Rates entered as ml/ha, g/ha or % v/v. Adjuvant % is v/v of the batch volume.</t>
  </si>
  <si>
    <t xml:space="preserve">Measure product with graduated syringes. Anything under 3 ml — make a 10× stock dilution and draw 10× the volume.</t>
  </si>
  <si>
    <t xml:space="preserve">Replicates is set to 3 for Ringwood (wheat only). Set to 4 to match Matong batch sizes, or 7 for one mix covering both sites.</t>
  </si>
  <si>
    <t xml:space="preserve">Site agronomy, growth stages and layout: see the 2026 Fungicide Trials Site Information Sheet.</t>
  </si>
  <si>
    <t xml:space="preserve">Wheat Fungicide Trial — Ringwood (Corowa) — Mixing Plan (rev. C, 24 treatments)</t>
  </si>
  <si>
    <t xml:space="preserve">Batch volume per treatment (L):</t>
  </si>
  <si>
    <t xml:space="preserve">Water per plot (L):</t>
  </si>
  <si>
    <t xml:space="preserve">Trt</t>
  </si>
  <si>
    <t xml:space="preserve">Treatment</t>
  </si>
  <si>
    <t xml:space="preserve">Timing</t>
  </si>
  <si>
    <t xml:space="preserve">Product</t>
  </si>
  <si>
    <t xml:space="preserve">Rate</t>
  </si>
  <si>
    <t xml:space="preserve">Per batch (ml)</t>
  </si>
  <si>
    <t xml:space="preserve">Check</t>
  </si>
  <si>
    <t xml:space="preserve">Untreated</t>
  </si>
  <si>
    <t xml:space="preserve">A</t>
  </si>
  <si>
    <t xml:space="preserve">Water only</t>
  </si>
  <si>
    <t xml:space="preserve">☐</t>
  </si>
  <si>
    <t xml:space="preserve">Aviator Xpro</t>
  </si>
  <si>
    <t xml:space="preserve">ml/ha</t>
  </si>
  <si>
    <t xml:space="preserve">Elatus Ace</t>
  </si>
  <si>
    <t xml:space="preserve">Opera</t>
  </si>
  <si>
    <t xml:space="preserve">Radial Opti (made up)</t>
  </si>
  <si>
    <t xml:space="preserve">Amistar 250 SC</t>
  </si>
  <si>
    <t xml:space="preserve">Soprano 500</t>
  </si>
  <si>
    <t xml:space="preserve">Hasten</t>
  </si>
  <si>
    <t xml:space="preserve">% v/v</t>
  </si>
  <si>
    <t xml:space="preserve">Proviso Opti</t>
  </si>
  <si>
    <t xml:space="preserve">Proline</t>
  </si>
  <si>
    <t xml:space="preserve">BS1000</t>
  </si>
  <si>
    <t xml:space="preserve">Revystar</t>
  </si>
  <si>
    <t xml:space="preserve">Balaya A+B</t>
  </si>
  <si>
    <t xml:space="preserve">Balaya</t>
  </si>
  <si>
    <t xml:space="preserve">Flute A</t>
  </si>
  <si>
    <t xml:space="preserve">Flute</t>
  </si>
  <si>
    <t xml:space="preserve">Experimental 1 A</t>
  </si>
  <si>
    <t xml:space="preserve">G295 (Adama)</t>
  </si>
  <si>
    <t xml:space="preserve">Experimental 2 AL</t>
  </si>
  <si>
    <t xml:space="preserve">Vimoy Iblon (Bayer)</t>
  </si>
  <si>
    <t xml:space="preserve">Experimental 2 AH</t>
  </si>
  <si>
    <t xml:space="preserve">Experimental 3 A</t>
  </si>
  <si>
    <t xml:space="preserve">Elatus Flexi</t>
  </si>
  <si>
    <t xml:space="preserve">Experimental 4 A</t>
  </si>
  <si>
    <t xml:space="preserve">CUF37 (Syngenta)</t>
  </si>
  <si>
    <t xml:space="preserve">Balaya B</t>
  </si>
  <si>
    <t xml:space="preserve">Flute B</t>
  </si>
  <si>
    <t xml:space="preserve">Experimental 2 BL</t>
  </si>
  <si>
    <t xml:space="preserve">Experimental 2 BH</t>
  </si>
  <si>
    <t xml:space="preserve">Experimental 3 B</t>
  </si>
  <si>
    <t xml:space="preserve">Experimental 4 B</t>
  </si>
  <si>
    <t xml:space="preserve">Marvis A+B</t>
  </si>
  <si>
    <t xml:space="preserve">Marvis Star</t>
  </si>
  <si>
    <t xml:space="preserve">Marvis A</t>
  </si>
  <si>
    <t xml:space="preserve">Balaya A</t>
  </si>
  <si>
    <t xml:space="preserve">Opus A</t>
  </si>
  <si>
    <t xml:space="preserve">B</t>
  </si>
  <si>
    <t xml:space="preserve">Radial Opti</t>
  </si>
  <si>
    <t xml:space="preserve">Prosaro</t>
  </si>
  <si>
    <t xml:space="preserve">Total product required across all batches</t>
  </si>
  <si>
    <t xml:space="preserve">Total (ml)</t>
  </si>
  <si>
    <t xml:space="preserve">24 treatments. The standard partner is Opus 500 ml/ha at both A and B — supplied as Soprano 500 at 125 ml/ha (same 62.5 g/ha epoxiconazole).</t>
  </si>
  <si>
    <t xml:space="preserve">Trts 9–14 use Proviso Opti 240 ml + BS1000 0.25% as the A-timing partner, per the rev. C plan.</t>
  </si>
  <si>
    <t xml:space="preserve">Trt 6 is named Proviso Opti but the product row reads Proline (carried across from the Matong sheet) — confirm which product goes in before mixing.</t>
  </si>
  <si>
    <t xml:space="preserve">Bulk batches: trts 15–20 + 24 share the A mix (Soprano 500). Trts 2–14 share the B mix (Soprano 500).</t>
  </si>
  <si>
    <t xml:space="preserve">Trts 1, 22, 23 and 24 have no B application. Trt 1 is untreated — water only, or leave unsprayed.</t>
  </si>
  <si>
    <t xml:space="preserve">Batch volume is driven by Replicates on the Inputs tab — currently 3 for Ringwood, so batches are smaller than the Matong sheet.</t>
  </si>
  <si>
    <t xml:space="preserve">Tick the Check box as each product is added to the batch. Adjuvant last.</t>
  </si>
  <si>
    <t xml:space="preserve">Ringwood Wheat Fungicide Trial — Plot Allocation</t>
  </si>
  <si>
    <t xml:space="preserve">24 treatments, RCB, 3 reps · plot 2 m × 12 m, 100 L/ha · rep 1 = rows 1–4, rep 2 = rows 6–9, rep 3 = rows 9–12</t>
  </si>
  <si>
    <t xml:space="preserve">Rep 1</t>
  </si>
  <si>
    <t xml:space="preserve">Rep 2</t>
  </si>
  <si>
    <t xml:space="preserve">Rep 3</t>
  </si>
  <si>
    <t xml:space="preserve">Extra plot</t>
  </si>
  <si>
    <t xml:space="preserve">B spray?</t>
  </si>
  <si>
    <t xml:space="preserve">Notes</t>
  </si>
  <si>
    <t xml:space="preserve">No</t>
  </si>
  <si>
    <t xml:space="preserve">Yes</t>
  </si>
  <si>
    <t xml:space="preserve">plot 105 marginal — flag at assessment</t>
  </si>
  <si>
    <t xml:space="preserve">plot 108 marginal — flag at assessment</t>
  </si>
  <si>
    <t xml:space="preserve">plot 704 marginal — flag at assessment</t>
  </si>
  <si>
    <t xml:space="preserve">plot 708 marginal — flag at assessment</t>
  </si>
  <si>
    <t xml:space="preserve">Plots sprayed at A (count of all plot IDs above):</t>
  </si>
  <si>
    <t xml:space="preserve">Write-offs, not used: 205, 901, 1001, 1101, 1201.</t>
  </si>
  <si>
    <t xml:space="preserve">Marginal and not used: 201, 204, 208, 401, 402, 404, 405, 501–508 (all of row 5), 801, 908, 1104, 1106.</t>
  </si>
  <si>
    <t xml:space="preserve">Marginal but carrying a treatment: 105, 108, 704, 708 — the third rep needs 72 plots and only 68 are clean.</t>
  </si>
  <si>
    <t xml:space="preserve">Trt 24 is 'Opus A' on the Wheat Mixing tab and 'Soprano A' on the spray map — same treatment (Soprano 500 at 125 ml/ha).</t>
  </si>
  <si>
    <t xml:space="preserve">Flutriafol breakdown block sits immediately beside row 1 — do not spray into it.</t>
  </si>
  <si>
    <t xml:space="preserve">Ringwood — Fungicide Trial Application Record</t>
  </si>
  <si>
    <t xml:space="preserve">2026 season · Wheat (24 trt, 3 reps)</t>
  </si>
  <si>
    <t xml:space="preserve">APPLICATION A</t>
  </si>
  <si>
    <t xml:space="preserve">Date</t>
  </si>
  <si>
    <t xml:space="preserve">Site</t>
  </si>
  <si>
    <t xml:space="preserve">Ringwood (Corowa)</t>
  </si>
  <si>
    <t xml:space="preserve">Operator</t>
  </si>
  <si>
    <t xml:space="preserve">Andrew Rolfe</t>
  </si>
  <si>
    <t xml:space="preserve">Assistance</t>
  </si>
  <si>
    <t xml:space="preserve">Sprayer / water rate</t>
  </si>
  <si>
    <t xml:space="preserve">Crop</t>
  </si>
  <si>
    <t xml:space="preserve">Start</t>
  </si>
  <si>
    <t xml:space="preserve">Finish</t>
  </si>
  <si>
    <t xml:space="preserve">Temp (°C)</t>
  </si>
  <si>
    <t xml:space="preserve">Wind (km/h)</t>
  </si>
  <si>
    <t xml:space="preserve">Wind dir.</t>
  </si>
  <si>
    <t xml:space="preserve">Water (L/ha)</t>
  </si>
  <si>
    <t xml:space="preserve">Plots sprayed</t>
  </si>
  <si>
    <t xml:space="preserve">Wheat</t>
  </si>
  <si>
    <t xml:space="preserve">PLOT CHANGES — deviations from the spray map</t>
  </si>
  <si>
    <t xml:space="preserve">Plot</t>
  </si>
  <si>
    <t xml:space="preserve">Trt sprayed</t>
  </si>
  <si>
    <t xml:space="preserve">Rep</t>
  </si>
  <si>
    <t xml:space="preserve">Per spray map</t>
  </si>
  <si>
    <t xml:space="preserve">Comment</t>
  </si>
  <si>
    <t xml:space="preserve">Record any plot sprayed differently to the map here, on the day.</t>
  </si>
  <si>
    <t xml:space="preserve">SIGN-OFF</t>
  </si>
  <si>
    <t xml:space="preserve">Role</t>
  </si>
  <si>
    <t xml:space="preserve">Name</t>
  </si>
  <si>
    <t xml:space="preserve">Signature</t>
  </si>
  <si>
    <t xml:space="preserve">Applicator</t>
  </si>
  <si>
    <t xml:space="preserve">Application B — wheat trts 2–21 only (1, 22, 23, 24 are A only).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</si>
</sst>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0"/>
    <numFmt numFmtId="167" formatCode="0.##"/>
    <numFmt numFmtId="168" formatCode="0"/>
    <numFmt numFmtId="169" formatCode="@"/>
    <numFmt numFmtId="170" formatCode="dd/mm/yyyy"/>
    <numFmt numFmtId="171" formatCode="hh:mm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58585B"/>
      <name val="Arial"/>
      <family val="0"/>
      <charset val="1"/>
    </font>
    <font>
      <b val="true"/>
      <sz val="14"/>
      <color rgb="FF00774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58585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F4520"/>
      <name val="Arial"/>
      <family val="0"/>
      <charset val="1"/>
    </font>
    <font>
      <b val="true"/>
      <sz val="10"/>
      <color rgb="FF007749"/>
      <name val="Arial"/>
      <family val="0"/>
      <charset val="1"/>
    </font>
    <font>
      <b val="true"/>
      <sz val="12"/>
      <color rgb="FF5858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58585B"/>
      <name val="Arial"/>
      <family val="0"/>
      <charset val="1"/>
    </font>
    <font>
      <b val="true"/>
      <sz val="11"/>
      <color rgb="FFCF452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7749"/>
        <bgColor rgb="FF008080"/>
      </patternFill>
    </fill>
    <fill>
      <patternFill patternType="solid">
        <fgColor rgb="FFFFF2CC"/>
        <bgColor rgb="FFFDEDE7"/>
      </patternFill>
    </fill>
    <fill>
      <patternFill patternType="solid">
        <fgColor rgb="FFFAFAFA"/>
        <bgColor rgb="FFFFFFFF"/>
      </patternFill>
    </fill>
    <fill>
      <patternFill patternType="solid">
        <fgColor rgb="FFFDEDE7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749"/>
      <rgbColor rgb="FFC0C0C0"/>
      <rgbColor rgb="FF808080"/>
      <rgbColor rgb="FF9999FF"/>
      <rgbColor rgb="FF993366"/>
      <rgbColor rgb="FFFFF2CC"/>
      <rgbColor rgb="FFFAFA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585B"/>
      <rgbColor rgb="FF969696"/>
      <rgbColor rgb="FF003366"/>
      <rgbColor rgb="FF339966"/>
      <rgbColor rgb="FF003300"/>
      <rgbColor rgb="FF333300"/>
      <rgbColor rgb="FFCF452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" t="s">
        <v>0</v>
      </c>
    </row>
    <row r="2" customFormat="false" ht="18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5" t="s">
        <v>6</v>
      </c>
      <c r="B5" s="6" t="n">
        <v>2</v>
      </c>
      <c r="C5" s="7" t="s">
        <v>7</v>
      </c>
      <c r="D5" s="8" t="s">
        <v>8</v>
      </c>
    </row>
    <row r="6" customFormat="false" ht="15" hidden="false" customHeight="false" outlineLevel="0" collapsed="false">
      <c r="A6" s="5" t="s">
        <v>9</v>
      </c>
      <c r="B6" s="6" t="n">
        <v>12</v>
      </c>
      <c r="C6" s="7" t="s">
        <v>7</v>
      </c>
      <c r="D6" s="8" t="s">
        <v>8</v>
      </c>
    </row>
    <row r="7" customFormat="false" ht="15" hidden="false" customHeight="false" outlineLevel="0" collapsed="false">
      <c r="A7" s="5" t="s">
        <v>10</v>
      </c>
      <c r="B7" s="9" t="n">
        <f aca="false">B5*B6</f>
        <v>24</v>
      </c>
      <c r="C7" s="7" t="s">
        <v>11</v>
      </c>
      <c r="D7" s="8" t="s">
        <v>12</v>
      </c>
    </row>
    <row r="8" customFormat="false" ht="15" hidden="false" customHeight="false" outlineLevel="0" collapsed="false">
      <c r="A8" s="5" t="s">
        <v>13</v>
      </c>
      <c r="B8" s="6" t="n">
        <v>3</v>
      </c>
      <c r="C8" s="7" t="s">
        <v>14</v>
      </c>
      <c r="D8" s="8" t="s">
        <v>15</v>
      </c>
    </row>
    <row r="9" customFormat="false" ht="15" hidden="false" customHeight="false" outlineLevel="0" collapsed="false">
      <c r="A9" s="5" t="s">
        <v>16</v>
      </c>
      <c r="B9" s="6" t="n">
        <v>100</v>
      </c>
      <c r="C9" s="7" t="s">
        <v>17</v>
      </c>
      <c r="D9" s="8" t="s">
        <v>8</v>
      </c>
    </row>
    <row r="10" customFormat="false" ht="15" hidden="false" customHeight="false" outlineLevel="0" collapsed="false">
      <c r="A10" s="5" t="s">
        <v>18</v>
      </c>
      <c r="B10" s="9" t="n">
        <f aca="false">B7/10000*B9</f>
        <v>0.24</v>
      </c>
      <c r="C10" s="7" t="s">
        <v>19</v>
      </c>
      <c r="D10" s="8" t="s">
        <v>20</v>
      </c>
    </row>
    <row r="11" customFormat="false" ht="15" hidden="false" customHeight="false" outlineLevel="0" collapsed="false">
      <c r="A11" s="5" t="s">
        <v>21</v>
      </c>
      <c r="B11" s="9" t="n">
        <f aca="false">B10*B8</f>
        <v>0.72</v>
      </c>
      <c r="C11" s="7" t="s">
        <v>19</v>
      </c>
      <c r="D11" s="8" t="s">
        <v>22</v>
      </c>
    </row>
    <row r="12" customFormat="false" ht="15" hidden="false" customHeight="false" outlineLevel="0" collapsed="false">
      <c r="A12" s="5" t="s">
        <v>23</v>
      </c>
      <c r="B12" s="10" t="n">
        <v>0.54</v>
      </c>
      <c r="C12" s="7" t="s">
        <v>19</v>
      </c>
      <c r="D12" s="8" t="s">
        <v>24</v>
      </c>
    </row>
    <row r="13" customFormat="false" ht="15" hidden="false" customHeight="false" outlineLevel="0" collapsed="false">
      <c r="A13" s="5" t="s">
        <v>25</v>
      </c>
      <c r="B13" s="9" t="n">
        <f aca="false">B11+B12</f>
        <v>1.26</v>
      </c>
      <c r="C13" s="7" t="s">
        <v>19</v>
      </c>
      <c r="D13" s="8" t="s">
        <v>26</v>
      </c>
    </row>
    <row r="15" customFormat="false" ht="15" hidden="false" customHeight="false" outlineLevel="0" collapsed="false">
      <c r="A15" s="11" t="s">
        <v>27</v>
      </c>
    </row>
    <row r="16" customFormat="false" ht="15" hidden="false" customHeight="false" outlineLevel="0" collapsed="false">
      <c r="A16" s="12" t="s">
        <v>28</v>
      </c>
    </row>
    <row r="17" customFormat="false" ht="15" hidden="false" customHeight="false" outlineLevel="0" collapsed="false">
      <c r="A17" s="12" t="s">
        <v>29</v>
      </c>
    </row>
    <row r="18" customFormat="false" ht="15" hidden="false" customHeight="false" outlineLevel="0" collapsed="false">
      <c r="A18" s="12" t="s">
        <v>30</v>
      </c>
    </row>
    <row r="19" customFormat="false" ht="15" hidden="false" customHeight="false" outlineLevel="0" collapsed="false">
      <c r="A19" s="12" t="s">
        <v>31</v>
      </c>
    </row>
    <row r="20" customFormat="false" ht="15" hidden="false" customHeight="false" outlineLevel="0" collapsed="false">
      <c r="A20" s="1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6" min="5" style="0" width="9"/>
    <col collapsed="false" customWidth="true" hidden="false" outlineLevel="0" max="7" min="7" style="0" width="15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0</v>
      </c>
    </row>
    <row r="2" customFormat="false" ht="18" hidden="false" customHeight="true" outlineLevel="0" collapsed="false">
      <c r="A2" s="2" t="s">
        <v>33</v>
      </c>
    </row>
    <row r="3" customFormat="false" ht="15" hidden="false" customHeight="false" outlineLevel="0" collapsed="false">
      <c r="A3" s="13" t="s">
        <v>34</v>
      </c>
      <c r="D3" s="14" t="n">
        <f aca="false">Inputs!B13</f>
        <v>1.26</v>
      </c>
      <c r="E3" s="13" t="s">
        <v>35</v>
      </c>
      <c r="F3" s="14" t="n">
        <f aca="false">Inputs!B10</f>
        <v>0.24</v>
      </c>
    </row>
    <row r="5" customFormat="false" ht="15" hidden="false" customHeight="false" outlineLevel="0" collapsed="false">
      <c r="A5" s="3" t="s">
        <v>36</v>
      </c>
      <c r="B5" s="4" t="s">
        <v>37</v>
      </c>
      <c r="C5" s="3" t="s">
        <v>38</v>
      </c>
      <c r="D5" s="3" t="s">
        <v>39</v>
      </c>
      <c r="E5" s="3" t="s">
        <v>40</v>
      </c>
      <c r="F5" s="3" t="s">
        <v>4</v>
      </c>
      <c r="G5" s="3" t="s">
        <v>41</v>
      </c>
      <c r="H5" s="3" t="s">
        <v>42</v>
      </c>
    </row>
    <row r="6" customFormat="false" ht="15" hidden="false" customHeight="false" outlineLevel="0" collapsed="false">
      <c r="A6" s="15" t="n">
        <v>1</v>
      </c>
      <c r="B6" s="16" t="s">
        <v>43</v>
      </c>
      <c r="C6" s="17" t="s">
        <v>44</v>
      </c>
      <c r="D6" s="16" t="s">
        <v>45</v>
      </c>
      <c r="E6" s="18"/>
      <c r="F6" s="17"/>
      <c r="G6" s="19"/>
      <c r="H6" s="17" t="s">
        <v>46</v>
      </c>
    </row>
    <row r="7" customFormat="false" ht="15" hidden="false" customHeight="false" outlineLevel="0" collapsed="false">
      <c r="A7" s="20" t="n">
        <v>2</v>
      </c>
      <c r="B7" s="7" t="s">
        <v>47</v>
      </c>
      <c r="C7" s="21" t="s">
        <v>44</v>
      </c>
      <c r="D7" s="7" t="s">
        <v>47</v>
      </c>
      <c r="E7" s="22" t="n">
        <v>500</v>
      </c>
      <c r="F7" s="21" t="s">
        <v>48</v>
      </c>
      <c r="G7" s="23" t="n">
        <f aca="false">IF(F7="% v/v",$D$3*1000*E7/100,E7*$D$3/Inputs!$B$9)</f>
        <v>6.3</v>
      </c>
      <c r="H7" s="21" t="s">
        <v>46</v>
      </c>
    </row>
    <row r="8" customFormat="false" ht="15" hidden="false" customHeight="false" outlineLevel="0" collapsed="false">
      <c r="A8" s="15" t="n">
        <v>3</v>
      </c>
      <c r="B8" s="16" t="s">
        <v>49</v>
      </c>
      <c r="C8" s="17" t="s">
        <v>44</v>
      </c>
      <c r="D8" s="16" t="s">
        <v>49</v>
      </c>
      <c r="E8" s="18" t="n">
        <v>500</v>
      </c>
      <c r="F8" s="17" t="s">
        <v>48</v>
      </c>
      <c r="G8" s="19" t="n">
        <f aca="false">IF(F8="% v/v",$D$3*1000*E8/100,E8*$D$3/Inputs!$B$9)</f>
        <v>6.3</v>
      </c>
      <c r="H8" s="17" t="s">
        <v>46</v>
      </c>
    </row>
    <row r="9" customFormat="false" ht="15" hidden="false" customHeight="false" outlineLevel="0" collapsed="false">
      <c r="A9" s="20" t="n">
        <v>4</v>
      </c>
      <c r="B9" s="7" t="s">
        <v>50</v>
      </c>
      <c r="C9" s="21" t="s">
        <v>44</v>
      </c>
      <c r="D9" s="7" t="s">
        <v>50</v>
      </c>
      <c r="E9" s="22" t="n">
        <v>750</v>
      </c>
      <c r="F9" s="21" t="s">
        <v>48</v>
      </c>
      <c r="G9" s="23" t="n">
        <f aca="false">IF(F9="% v/v",$D$3*1000*E9/100,E9*$D$3/Inputs!$B$9)</f>
        <v>9.45</v>
      </c>
      <c r="H9" s="21" t="s">
        <v>46</v>
      </c>
    </row>
    <row r="10" customFormat="false" ht="15" hidden="false" customHeight="false" outlineLevel="0" collapsed="false">
      <c r="A10" s="15" t="n">
        <v>5</v>
      </c>
      <c r="B10" s="16" t="s">
        <v>51</v>
      </c>
      <c r="C10" s="17" t="s">
        <v>44</v>
      </c>
      <c r="D10" s="16" t="s">
        <v>52</v>
      </c>
      <c r="E10" s="18" t="n">
        <v>320</v>
      </c>
      <c r="F10" s="17" t="s">
        <v>48</v>
      </c>
      <c r="G10" s="19" t="n">
        <f aca="false">IF(F10="% v/v",$D$3*1000*E10/100,E10*$D$3/Inputs!$B$9)</f>
        <v>4.032</v>
      </c>
      <c r="H10" s="17" t="s">
        <v>46</v>
      </c>
    </row>
    <row r="11" customFormat="false" ht="15" hidden="false" customHeight="false" outlineLevel="0" collapsed="false">
      <c r="A11" s="15"/>
      <c r="B11" s="16"/>
      <c r="C11" s="17"/>
      <c r="D11" s="16" t="s">
        <v>53</v>
      </c>
      <c r="E11" s="18" t="n">
        <v>125</v>
      </c>
      <c r="F11" s="17" t="s">
        <v>48</v>
      </c>
      <c r="G11" s="19" t="n">
        <f aca="false">IF(F11="% v/v",$D$3*1000*E11/100,E11*$D$3/Inputs!$B$9)</f>
        <v>1.575</v>
      </c>
      <c r="H11" s="17" t="s">
        <v>46</v>
      </c>
    </row>
    <row r="12" customFormat="false" ht="15" hidden="false" customHeight="false" outlineLevel="0" collapsed="false">
      <c r="A12" s="15"/>
      <c r="B12" s="16"/>
      <c r="C12" s="17"/>
      <c r="D12" s="16" t="s">
        <v>54</v>
      </c>
      <c r="E12" s="18" t="n">
        <v>0.5</v>
      </c>
      <c r="F12" s="17" t="s">
        <v>55</v>
      </c>
      <c r="G12" s="19" t="n">
        <f aca="false">IF(F12="% v/v",$D$3*1000*E12/100,E12*$D$3/Inputs!$B$9)</f>
        <v>6.3</v>
      </c>
      <c r="H12" s="17" t="s">
        <v>46</v>
      </c>
    </row>
    <row r="13" customFormat="false" ht="15" hidden="false" customHeight="false" outlineLevel="0" collapsed="false">
      <c r="A13" s="20" t="n">
        <v>6</v>
      </c>
      <c r="B13" s="7" t="s">
        <v>56</v>
      </c>
      <c r="C13" s="21" t="s">
        <v>44</v>
      </c>
      <c r="D13" s="7" t="s">
        <v>57</v>
      </c>
      <c r="E13" s="22" t="n">
        <v>240</v>
      </c>
      <c r="F13" s="21" t="s">
        <v>48</v>
      </c>
      <c r="G13" s="23" t="n">
        <f aca="false">IF(F13="% v/v",$D$3*1000*E13/100,E13*$D$3/Inputs!$B$9)</f>
        <v>3.024</v>
      </c>
      <c r="H13" s="21" t="s">
        <v>46</v>
      </c>
    </row>
    <row r="14" customFormat="false" ht="15" hidden="false" customHeight="false" outlineLevel="0" collapsed="false">
      <c r="A14" s="20"/>
      <c r="B14" s="7"/>
      <c r="C14" s="21"/>
      <c r="D14" s="7" t="s">
        <v>58</v>
      </c>
      <c r="E14" s="22" t="n">
        <v>0.25</v>
      </c>
      <c r="F14" s="21" t="s">
        <v>55</v>
      </c>
      <c r="G14" s="23" t="n">
        <f aca="false">IF(F14="% v/v",$D$3*1000*E14/100,E14*$D$3/Inputs!$B$9)</f>
        <v>3.15</v>
      </c>
      <c r="H14" s="21" t="s">
        <v>46</v>
      </c>
    </row>
    <row r="15" customFormat="false" ht="15" hidden="false" customHeight="false" outlineLevel="0" collapsed="false">
      <c r="A15" s="15" t="n">
        <v>7</v>
      </c>
      <c r="B15" s="16" t="s">
        <v>59</v>
      </c>
      <c r="C15" s="17" t="s">
        <v>44</v>
      </c>
      <c r="D15" s="16" t="s">
        <v>59</v>
      </c>
      <c r="E15" s="18" t="n">
        <v>750</v>
      </c>
      <c r="F15" s="17" t="s">
        <v>48</v>
      </c>
      <c r="G15" s="19" t="n">
        <f aca="false">IF(F15="% v/v",$D$3*1000*E15/100,E15*$D$3/Inputs!$B$9)</f>
        <v>9.45</v>
      </c>
      <c r="H15" s="17" t="s">
        <v>46</v>
      </c>
    </row>
    <row r="16" customFormat="false" ht="15" hidden="false" customHeight="false" outlineLevel="0" collapsed="false">
      <c r="A16" s="20" t="n">
        <v>8</v>
      </c>
      <c r="B16" s="7" t="s">
        <v>60</v>
      </c>
      <c r="C16" s="21" t="s">
        <v>44</v>
      </c>
      <c r="D16" s="7" t="s">
        <v>61</v>
      </c>
      <c r="E16" s="22" t="n">
        <v>750</v>
      </c>
      <c r="F16" s="21" t="s">
        <v>48</v>
      </c>
      <c r="G16" s="23" t="n">
        <f aca="false">IF(F16="% v/v",$D$3*1000*E16/100,E16*$D$3/Inputs!$B$9)</f>
        <v>9.45</v>
      </c>
      <c r="H16" s="21" t="s">
        <v>46</v>
      </c>
    </row>
    <row r="17" customFormat="false" ht="15" hidden="false" customHeight="false" outlineLevel="0" collapsed="false">
      <c r="A17" s="15" t="n">
        <v>9</v>
      </c>
      <c r="B17" s="16" t="s">
        <v>62</v>
      </c>
      <c r="C17" s="17" t="s">
        <v>44</v>
      </c>
      <c r="D17" s="16" t="s">
        <v>63</v>
      </c>
      <c r="E17" s="18" t="n">
        <v>150</v>
      </c>
      <c r="F17" s="17" t="s">
        <v>48</v>
      </c>
      <c r="G17" s="19" t="n">
        <f aca="false">IF(F17="% v/v",$D$3*1000*E17/100,E17*$D$3/Inputs!$B$9)</f>
        <v>1.89</v>
      </c>
      <c r="H17" s="17" t="s">
        <v>46</v>
      </c>
    </row>
    <row r="18" customFormat="false" ht="15" hidden="false" customHeight="false" outlineLevel="0" collapsed="false">
      <c r="A18" s="15"/>
      <c r="B18" s="16"/>
      <c r="C18" s="17"/>
      <c r="D18" s="16" t="s">
        <v>56</v>
      </c>
      <c r="E18" s="18" t="n">
        <v>240</v>
      </c>
      <c r="F18" s="17" t="s">
        <v>48</v>
      </c>
      <c r="G18" s="19" t="n">
        <f aca="false">IF(F18="% v/v",$D$3*1000*E18/100,E18*$D$3/Inputs!$B$9)</f>
        <v>3.024</v>
      </c>
      <c r="H18" s="17" t="s">
        <v>46</v>
      </c>
    </row>
    <row r="19" customFormat="false" ht="15" hidden="false" customHeight="false" outlineLevel="0" collapsed="false">
      <c r="A19" s="15"/>
      <c r="B19" s="16"/>
      <c r="C19" s="17"/>
      <c r="D19" s="16" t="s">
        <v>58</v>
      </c>
      <c r="E19" s="18" t="n">
        <v>0.25</v>
      </c>
      <c r="F19" s="17" t="s">
        <v>55</v>
      </c>
      <c r="G19" s="19" t="n">
        <f aca="false">IF(F19="% v/v",$D$3*1000*E19/100,E19*$D$3/Inputs!$B$9)</f>
        <v>3.15</v>
      </c>
      <c r="H19" s="17" t="s">
        <v>46</v>
      </c>
    </row>
    <row r="20" customFormat="false" ht="15" hidden="false" customHeight="false" outlineLevel="0" collapsed="false">
      <c r="A20" s="20" t="n">
        <v>10</v>
      </c>
      <c r="B20" s="7" t="s">
        <v>64</v>
      </c>
      <c r="C20" s="21" t="s">
        <v>44</v>
      </c>
      <c r="D20" s="7" t="s">
        <v>65</v>
      </c>
      <c r="E20" s="22" t="n">
        <v>150</v>
      </c>
      <c r="F20" s="21" t="s">
        <v>48</v>
      </c>
      <c r="G20" s="23" t="n">
        <f aca="false">IF(F20="% v/v",$D$3*1000*E20/100,E20*$D$3/Inputs!$B$9)</f>
        <v>1.89</v>
      </c>
      <c r="H20" s="21" t="s">
        <v>46</v>
      </c>
    </row>
    <row r="21" customFormat="false" ht="15" hidden="false" customHeight="false" outlineLevel="0" collapsed="false">
      <c r="A21" s="20"/>
      <c r="B21" s="7"/>
      <c r="C21" s="21"/>
      <c r="D21" s="7" t="s">
        <v>56</v>
      </c>
      <c r="E21" s="22" t="n">
        <v>240</v>
      </c>
      <c r="F21" s="21" t="s">
        <v>48</v>
      </c>
      <c r="G21" s="23" t="n">
        <f aca="false">IF(F21="% v/v",$D$3*1000*E21/100,E21*$D$3/Inputs!$B$9)</f>
        <v>3.024</v>
      </c>
      <c r="H21" s="21" t="s">
        <v>46</v>
      </c>
    </row>
    <row r="22" customFormat="false" ht="15" hidden="false" customHeight="false" outlineLevel="0" collapsed="false">
      <c r="A22" s="20"/>
      <c r="B22" s="7"/>
      <c r="C22" s="21"/>
      <c r="D22" s="7" t="s">
        <v>58</v>
      </c>
      <c r="E22" s="22" t="n">
        <v>0.25</v>
      </c>
      <c r="F22" s="21" t="s">
        <v>55</v>
      </c>
      <c r="G22" s="23" t="n">
        <f aca="false">IF(F22="% v/v",$D$3*1000*E22/100,E22*$D$3/Inputs!$B$9)</f>
        <v>3.15</v>
      </c>
      <c r="H22" s="21" t="s">
        <v>46</v>
      </c>
    </row>
    <row r="23" customFormat="false" ht="15" hidden="false" customHeight="false" outlineLevel="0" collapsed="false">
      <c r="A23" s="15" t="n">
        <v>11</v>
      </c>
      <c r="B23" s="16" t="s">
        <v>66</v>
      </c>
      <c r="C23" s="17" t="s">
        <v>44</v>
      </c>
      <c r="D23" s="16" t="s">
        <v>67</v>
      </c>
      <c r="E23" s="18" t="n">
        <v>300</v>
      </c>
      <c r="F23" s="17" t="s">
        <v>48</v>
      </c>
      <c r="G23" s="19" t="n">
        <f aca="false">IF(F23="% v/v",$D$3*1000*E23/100,E23*$D$3/Inputs!$B$9)</f>
        <v>3.78</v>
      </c>
      <c r="H23" s="17" t="s">
        <v>46</v>
      </c>
    </row>
    <row r="24" customFormat="false" ht="15" hidden="false" customHeight="false" outlineLevel="0" collapsed="false">
      <c r="A24" s="15"/>
      <c r="B24" s="16"/>
      <c r="C24" s="17"/>
      <c r="D24" s="16" t="s">
        <v>56</v>
      </c>
      <c r="E24" s="18" t="n">
        <v>240</v>
      </c>
      <c r="F24" s="17" t="s">
        <v>48</v>
      </c>
      <c r="G24" s="19" t="n">
        <f aca="false">IF(F24="% v/v",$D$3*1000*E24/100,E24*$D$3/Inputs!$B$9)</f>
        <v>3.024</v>
      </c>
      <c r="H24" s="17" t="s">
        <v>46</v>
      </c>
    </row>
    <row r="25" customFormat="false" ht="15" hidden="false" customHeight="false" outlineLevel="0" collapsed="false">
      <c r="A25" s="15"/>
      <c r="B25" s="16"/>
      <c r="C25" s="17"/>
      <c r="D25" s="16" t="s">
        <v>58</v>
      </c>
      <c r="E25" s="18" t="n">
        <v>0.25</v>
      </c>
      <c r="F25" s="17" t="s">
        <v>55</v>
      </c>
      <c r="G25" s="19" t="n">
        <f aca="false">IF(F25="% v/v",$D$3*1000*E25/100,E25*$D$3/Inputs!$B$9)</f>
        <v>3.15</v>
      </c>
      <c r="H25" s="17" t="s">
        <v>46</v>
      </c>
    </row>
    <row r="26" customFormat="false" ht="15" hidden="false" customHeight="false" outlineLevel="0" collapsed="false">
      <c r="A26" s="20" t="n">
        <v>12</v>
      </c>
      <c r="B26" s="7" t="s">
        <v>68</v>
      </c>
      <c r="C26" s="21" t="s">
        <v>44</v>
      </c>
      <c r="D26" s="7" t="s">
        <v>67</v>
      </c>
      <c r="E26" s="22" t="n">
        <v>500</v>
      </c>
      <c r="F26" s="21" t="s">
        <v>48</v>
      </c>
      <c r="G26" s="23" t="n">
        <f aca="false">IF(F26="% v/v",$D$3*1000*E26/100,E26*$D$3/Inputs!$B$9)</f>
        <v>6.3</v>
      </c>
      <c r="H26" s="21" t="s">
        <v>46</v>
      </c>
    </row>
    <row r="27" customFormat="false" ht="15" hidden="false" customHeight="false" outlineLevel="0" collapsed="false">
      <c r="A27" s="20"/>
      <c r="B27" s="7"/>
      <c r="C27" s="21"/>
      <c r="D27" s="7" t="s">
        <v>56</v>
      </c>
      <c r="E27" s="22" t="n">
        <v>240</v>
      </c>
      <c r="F27" s="21" t="s">
        <v>48</v>
      </c>
      <c r="G27" s="23" t="n">
        <f aca="false">IF(F27="% v/v",$D$3*1000*E27/100,E27*$D$3/Inputs!$B$9)</f>
        <v>3.024</v>
      </c>
      <c r="H27" s="21" t="s">
        <v>46</v>
      </c>
    </row>
    <row r="28" customFormat="false" ht="15" hidden="false" customHeight="false" outlineLevel="0" collapsed="false">
      <c r="A28" s="20"/>
      <c r="B28" s="7"/>
      <c r="C28" s="21"/>
      <c r="D28" s="7" t="s">
        <v>58</v>
      </c>
      <c r="E28" s="22" t="n">
        <v>0.25</v>
      </c>
      <c r="F28" s="21" t="s">
        <v>55</v>
      </c>
      <c r="G28" s="23" t="n">
        <f aca="false">IF(F28="% v/v",$D$3*1000*E28/100,E28*$D$3/Inputs!$B$9)</f>
        <v>3.15</v>
      </c>
      <c r="H28" s="21" t="s">
        <v>46</v>
      </c>
    </row>
    <row r="29" customFormat="false" ht="15" hidden="false" customHeight="false" outlineLevel="0" collapsed="false">
      <c r="A29" s="15" t="n">
        <v>13</v>
      </c>
      <c r="B29" s="16" t="s">
        <v>69</v>
      </c>
      <c r="C29" s="17" t="s">
        <v>44</v>
      </c>
      <c r="D29" s="16" t="s">
        <v>70</v>
      </c>
      <c r="E29" s="18" t="n">
        <v>500</v>
      </c>
      <c r="F29" s="17" t="s">
        <v>48</v>
      </c>
      <c r="G29" s="19" t="n">
        <f aca="false">IF(F29="% v/v",$D$3*1000*E29/100,E29*$D$3/Inputs!$B$9)</f>
        <v>6.3</v>
      </c>
      <c r="H29" s="17" t="s">
        <v>46</v>
      </c>
    </row>
    <row r="30" customFormat="false" ht="15" hidden="false" customHeight="false" outlineLevel="0" collapsed="false">
      <c r="A30" s="15"/>
      <c r="B30" s="16"/>
      <c r="C30" s="17"/>
      <c r="D30" s="16" t="s">
        <v>56</v>
      </c>
      <c r="E30" s="18" t="n">
        <v>240</v>
      </c>
      <c r="F30" s="17" t="s">
        <v>48</v>
      </c>
      <c r="G30" s="19" t="n">
        <f aca="false">IF(F30="% v/v",$D$3*1000*E30/100,E30*$D$3/Inputs!$B$9)</f>
        <v>3.024</v>
      </c>
      <c r="H30" s="17" t="s">
        <v>46</v>
      </c>
    </row>
    <row r="31" customFormat="false" ht="15" hidden="false" customHeight="false" outlineLevel="0" collapsed="false">
      <c r="A31" s="15"/>
      <c r="B31" s="16"/>
      <c r="C31" s="17"/>
      <c r="D31" s="16" t="s">
        <v>58</v>
      </c>
      <c r="E31" s="18" t="n">
        <v>0.25</v>
      </c>
      <c r="F31" s="17" t="s">
        <v>55</v>
      </c>
      <c r="G31" s="19" t="n">
        <f aca="false">IF(F31="% v/v",$D$3*1000*E31/100,E31*$D$3/Inputs!$B$9)</f>
        <v>3.15</v>
      </c>
      <c r="H31" s="17" t="s">
        <v>46</v>
      </c>
    </row>
    <row r="32" customFormat="false" ht="15" hidden="false" customHeight="false" outlineLevel="0" collapsed="false">
      <c r="A32" s="20" t="n">
        <v>14</v>
      </c>
      <c r="B32" s="7" t="s">
        <v>71</v>
      </c>
      <c r="C32" s="21" t="s">
        <v>44</v>
      </c>
      <c r="D32" s="7" t="s">
        <v>72</v>
      </c>
      <c r="E32" s="22" t="n">
        <v>750</v>
      </c>
      <c r="F32" s="21" t="s">
        <v>48</v>
      </c>
      <c r="G32" s="23" t="n">
        <f aca="false">IF(F32="% v/v",$D$3*1000*E32/100,E32*$D$3/Inputs!$B$9)</f>
        <v>9.45</v>
      </c>
      <c r="H32" s="21" t="s">
        <v>46</v>
      </c>
    </row>
    <row r="33" customFormat="false" ht="15" hidden="false" customHeight="false" outlineLevel="0" collapsed="false">
      <c r="A33" s="15" t="n">
        <v>15</v>
      </c>
      <c r="B33" s="16" t="s">
        <v>73</v>
      </c>
      <c r="C33" s="17" t="s">
        <v>44</v>
      </c>
      <c r="D33" s="16" t="s">
        <v>53</v>
      </c>
      <c r="E33" s="18" t="n">
        <v>125</v>
      </c>
      <c r="F33" s="17" t="s">
        <v>48</v>
      </c>
      <c r="G33" s="19" t="n">
        <f aca="false">IF(F33="% v/v",$D$3*1000*E33/100,E33*$D$3/Inputs!$B$9)</f>
        <v>1.575</v>
      </c>
      <c r="H33" s="17" t="s">
        <v>46</v>
      </c>
    </row>
    <row r="34" customFormat="false" ht="15" hidden="false" customHeight="false" outlineLevel="0" collapsed="false">
      <c r="A34" s="20" t="n">
        <v>16</v>
      </c>
      <c r="B34" s="7" t="s">
        <v>74</v>
      </c>
      <c r="C34" s="21" t="s">
        <v>44</v>
      </c>
      <c r="D34" s="7" t="s">
        <v>53</v>
      </c>
      <c r="E34" s="22" t="n">
        <v>125</v>
      </c>
      <c r="F34" s="21" t="s">
        <v>48</v>
      </c>
      <c r="G34" s="23" t="n">
        <f aca="false">IF(F34="% v/v",$D$3*1000*E34/100,E34*$D$3/Inputs!$B$9)</f>
        <v>1.575</v>
      </c>
      <c r="H34" s="21" t="s">
        <v>46</v>
      </c>
    </row>
    <row r="35" customFormat="false" ht="15" hidden="false" customHeight="false" outlineLevel="0" collapsed="false">
      <c r="A35" s="15" t="n">
        <v>17</v>
      </c>
      <c r="B35" s="16" t="s">
        <v>75</v>
      </c>
      <c r="C35" s="17" t="s">
        <v>44</v>
      </c>
      <c r="D35" s="16" t="s">
        <v>53</v>
      </c>
      <c r="E35" s="18" t="n">
        <v>125</v>
      </c>
      <c r="F35" s="17" t="s">
        <v>48</v>
      </c>
      <c r="G35" s="19" t="n">
        <f aca="false">IF(F35="% v/v",$D$3*1000*E35/100,E35*$D$3/Inputs!$B$9)</f>
        <v>1.575</v>
      </c>
      <c r="H35" s="17" t="s">
        <v>46</v>
      </c>
    </row>
    <row r="36" customFormat="false" ht="15" hidden="false" customHeight="false" outlineLevel="0" collapsed="false">
      <c r="A36" s="20" t="n">
        <v>18</v>
      </c>
      <c r="B36" s="7" t="s">
        <v>76</v>
      </c>
      <c r="C36" s="21" t="s">
        <v>44</v>
      </c>
      <c r="D36" s="7" t="s">
        <v>53</v>
      </c>
      <c r="E36" s="22" t="n">
        <v>125</v>
      </c>
      <c r="F36" s="21" t="s">
        <v>48</v>
      </c>
      <c r="G36" s="23" t="n">
        <f aca="false">IF(F36="% v/v",$D$3*1000*E36/100,E36*$D$3/Inputs!$B$9)</f>
        <v>1.575</v>
      </c>
      <c r="H36" s="21" t="s">
        <v>46</v>
      </c>
    </row>
    <row r="37" customFormat="false" ht="15" hidden="false" customHeight="false" outlineLevel="0" collapsed="false">
      <c r="A37" s="15" t="n">
        <v>19</v>
      </c>
      <c r="B37" s="16" t="s">
        <v>77</v>
      </c>
      <c r="C37" s="17" t="s">
        <v>44</v>
      </c>
      <c r="D37" s="16" t="s">
        <v>53</v>
      </c>
      <c r="E37" s="18" t="n">
        <v>125</v>
      </c>
      <c r="F37" s="17" t="s">
        <v>48</v>
      </c>
      <c r="G37" s="19" t="n">
        <f aca="false">IF(F37="% v/v",$D$3*1000*E37/100,E37*$D$3/Inputs!$B$9)</f>
        <v>1.575</v>
      </c>
      <c r="H37" s="17" t="s">
        <v>46</v>
      </c>
    </row>
    <row r="38" customFormat="false" ht="15" hidden="false" customHeight="false" outlineLevel="0" collapsed="false">
      <c r="A38" s="20" t="n">
        <v>20</v>
      </c>
      <c r="B38" s="7" t="s">
        <v>78</v>
      </c>
      <c r="C38" s="21" t="s">
        <v>44</v>
      </c>
      <c r="D38" s="7" t="s">
        <v>53</v>
      </c>
      <c r="E38" s="22" t="n">
        <v>125</v>
      </c>
      <c r="F38" s="21" t="s">
        <v>48</v>
      </c>
      <c r="G38" s="23" t="n">
        <f aca="false">IF(F38="% v/v",$D$3*1000*E38/100,E38*$D$3/Inputs!$B$9)</f>
        <v>1.575</v>
      </c>
      <c r="H38" s="21" t="s">
        <v>46</v>
      </c>
    </row>
    <row r="39" customFormat="false" ht="15" hidden="false" customHeight="false" outlineLevel="0" collapsed="false">
      <c r="A39" s="15" t="n">
        <v>21</v>
      </c>
      <c r="B39" s="16" t="s">
        <v>79</v>
      </c>
      <c r="C39" s="17" t="s">
        <v>44</v>
      </c>
      <c r="D39" s="16" t="s">
        <v>80</v>
      </c>
      <c r="E39" s="18" t="n">
        <v>500</v>
      </c>
      <c r="F39" s="17" t="s">
        <v>48</v>
      </c>
      <c r="G39" s="19" t="n">
        <f aca="false">IF(F39="% v/v",$D$3*1000*E39/100,E39*$D$3/Inputs!$B$9)</f>
        <v>6.3</v>
      </c>
      <c r="H39" s="17" t="s">
        <v>46</v>
      </c>
    </row>
    <row r="40" customFormat="false" ht="15" hidden="false" customHeight="false" outlineLevel="0" collapsed="false">
      <c r="A40" s="20" t="n">
        <v>22</v>
      </c>
      <c r="B40" s="7" t="s">
        <v>81</v>
      </c>
      <c r="C40" s="21" t="s">
        <v>44</v>
      </c>
      <c r="D40" s="7" t="s">
        <v>80</v>
      </c>
      <c r="E40" s="22" t="n">
        <v>500</v>
      </c>
      <c r="F40" s="21" t="s">
        <v>48</v>
      </c>
      <c r="G40" s="23" t="n">
        <f aca="false">IF(F40="% v/v",$D$3*1000*E40/100,E40*$D$3/Inputs!$B$9)</f>
        <v>6.3</v>
      </c>
      <c r="H40" s="21" t="s">
        <v>46</v>
      </c>
    </row>
    <row r="41" customFormat="false" ht="15" hidden="false" customHeight="false" outlineLevel="0" collapsed="false">
      <c r="A41" s="15" t="n">
        <v>23</v>
      </c>
      <c r="B41" s="16" t="s">
        <v>82</v>
      </c>
      <c r="C41" s="17" t="s">
        <v>44</v>
      </c>
      <c r="D41" s="16" t="s">
        <v>61</v>
      </c>
      <c r="E41" s="18" t="n">
        <v>750</v>
      </c>
      <c r="F41" s="17" t="s">
        <v>48</v>
      </c>
      <c r="G41" s="19" t="n">
        <f aca="false">IF(F41="% v/v",$D$3*1000*E41/100,E41*$D$3/Inputs!$B$9)</f>
        <v>9.45</v>
      </c>
      <c r="H41" s="17" t="s">
        <v>46</v>
      </c>
    </row>
    <row r="42" customFormat="false" ht="15" hidden="false" customHeight="false" outlineLevel="0" collapsed="false">
      <c r="A42" s="20" t="n">
        <v>24</v>
      </c>
      <c r="B42" s="7" t="s">
        <v>83</v>
      </c>
      <c r="C42" s="21" t="s">
        <v>44</v>
      </c>
      <c r="D42" s="7" t="s">
        <v>53</v>
      </c>
      <c r="E42" s="22" t="n">
        <v>125</v>
      </c>
      <c r="F42" s="21" t="s">
        <v>48</v>
      </c>
      <c r="G42" s="23" t="n">
        <f aca="false">IF(F42="% v/v",$D$3*1000*E42/100,E42*$D$3/Inputs!$B$9)</f>
        <v>1.575</v>
      </c>
      <c r="H42" s="21" t="s">
        <v>46</v>
      </c>
    </row>
    <row r="44" customFormat="false" ht="15" hidden="false" customHeight="false" outlineLevel="0" collapsed="false">
      <c r="A44" s="15" t="n">
        <v>2</v>
      </c>
      <c r="B44" s="16" t="s">
        <v>47</v>
      </c>
      <c r="C44" s="17" t="s">
        <v>84</v>
      </c>
      <c r="D44" s="16" t="s">
        <v>53</v>
      </c>
      <c r="E44" s="18" t="n">
        <v>125</v>
      </c>
      <c r="F44" s="17" t="s">
        <v>48</v>
      </c>
      <c r="G44" s="19" t="n">
        <f aca="false">IF(F44="% v/v",$D$3*1000*E44/100,E44*$D$3/Inputs!$B$9)</f>
        <v>1.575</v>
      </c>
      <c r="H44" s="17" t="s">
        <v>46</v>
      </c>
    </row>
    <row r="45" customFormat="false" ht="15" hidden="false" customHeight="false" outlineLevel="0" collapsed="false">
      <c r="A45" s="20" t="n">
        <v>3</v>
      </c>
      <c r="B45" s="7" t="s">
        <v>49</v>
      </c>
      <c r="C45" s="21" t="s">
        <v>84</v>
      </c>
      <c r="D45" s="7" t="s">
        <v>53</v>
      </c>
      <c r="E45" s="22" t="n">
        <v>125</v>
      </c>
      <c r="F45" s="21" t="s">
        <v>48</v>
      </c>
      <c r="G45" s="23" t="n">
        <f aca="false">IF(F45="% v/v",$D$3*1000*E45/100,E45*$D$3/Inputs!$B$9)</f>
        <v>1.575</v>
      </c>
      <c r="H45" s="21" t="s">
        <v>46</v>
      </c>
    </row>
    <row r="46" customFormat="false" ht="15" hidden="false" customHeight="false" outlineLevel="0" collapsed="false">
      <c r="A46" s="15" t="n">
        <v>4</v>
      </c>
      <c r="B46" s="16" t="s">
        <v>50</v>
      </c>
      <c r="C46" s="17" t="s">
        <v>84</v>
      </c>
      <c r="D46" s="16" t="s">
        <v>53</v>
      </c>
      <c r="E46" s="18" t="n">
        <v>125</v>
      </c>
      <c r="F46" s="17" t="s">
        <v>48</v>
      </c>
      <c r="G46" s="19" t="n">
        <f aca="false">IF(F46="% v/v",$D$3*1000*E46/100,E46*$D$3/Inputs!$B$9)</f>
        <v>1.575</v>
      </c>
      <c r="H46" s="17" t="s">
        <v>46</v>
      </c>
    </row>
    <row r="47" customFormat="false" ht="15" hidden="false" customHeight="false" outlineLevel="0" collapsed="false">
      <c r="A47" s="20" t="n">
        <v>5</v>
      </c>
      <c r="B47" s="7" t="s">
        <v>85</v>
      </c>
      <c r="C47" s="21" t="s">
        <v>84</v>
      </c>
      <c r="D47" s="7" t="s">
        <v>53</v>
      </c>
      <c r="E47" s="22" t="n">
        <v>125</v>
      </c>
      <c r="F47" s="21" t="s">
        <v>48</v>
      </c>
      <c r="G47" s="23" t="n">
        <f aca="false">IF(F47="% v/v",$D$3*1000*E47/100,E47*$D$3/Inputs!$B$9)</f>
        <v>1.575</v>
      </c>
      <c r="H47" s="21" t="s">
        <v>46</v>
      </c>
    </row>
    <row r="48" customFormat="false" ht="15" hidden="false" customHeight="false" outlineLevel="0" collapsed="false">
      <c r="A48" s="15" t="n">
        <v>6</v>
      </c>
      <c r="B48" s="16" t="s">
        <v>56</v>
      </c>
      <c r="C48" s="17" t="s">
        <v>84</v>
      </c>
      <c r="D48" s="16" t="s">
        <v>53</v>
      </c>
      <c r="E48" s="18" t="n">
        <v>125</v>
      </c>
      <c r="F48" s="17" t="s">
        <v>48</v>
      </c>
      <c r="G48" s="19" t="n">
        <f aca="false">IF(F48="% v/v",$D$3*1000*E48/100,E48*$D$3/Inputs!$B$9)</f>
        <v>1.575</v>
      </c>
      <c r="H48" s="17" t="s">
        <v>46</v>
      </c>
    </row>
    <row r="49" customFormat="false" ht="15" hidden="false" customHeight="false" outlineLevel="0" collapsed="false">
      <c r="A49" s="20" t="n">
        <v>7</v>
      </c>
      <c r="B49" s="7" t="s">
        <v>59</v>
      </c>
      <c r="C49" s="21" t="s">
        <v>84</v>
      </c>
      <c r="D49" s="7" t="s">
        <v>53</v>
      </c>
      <c r="E49" s="22" t="n">
        <v>125</v>
      </c>
      <c r="F49" s="21" t="s">
        <v>48</v>
      </c>
      <c r="G49" s="23" t="n">
        <f aca="false">IF(F49="% v/v",$D$3*1000*E49/100,E49*$D$3/Inputs!$B$9)</f>
        <v>1.575</v>
      </c>
      <c r="H49" s="21" t="s">
        <v>46</v>
      </c>
    </row>
    <row r="50" customFormat="false" ht="15" hidden="false" customHeight="false" outlineLevel="0" collapsed="false">
      <c r="A50" s="15" t="n">
        <v>8</v>
      </c>
      <c r="B50" s="16" t="s">
        <v>60</v>
      </c>
      <c r="C50" s="17" t="s">
        <v>84</v>
      </c>
      <c r="D50" s="16" t="s">
        <v>53</v>
      </c>
      <c r="E50" s="18" t="n">
        <v>125</v>
      </c>
      <c r="F50" s="17" t="s">
        <v>48</v>
      </c>
      <c r="G50" s="19" t="n">
        <f aca="false">IF(F50="% v/v",$D$3*1000*E50/100,E50*$D$3/Inputs!$B$9)</f>
        <v>1.575</v>
      </c>
      <c r="H50" s="17" t="s">
        <v>46</v>
      </c>
    </row>
    <row r="51" customFormat="false" ht="15" hidden="false" customHeight="false" outlineLevel="0" collapsed="false">
      <c r="A51" s="20" t="n">
        <v>9</v>
      </c>
      <c r="B51" s="7" t="s">
        <v>62</v>
      </c>
      <c r="C51" s="21" t="s">
        <v>84</v>
      </c>
      <c r="D51" s="7" t="s">
        <v>53</v>
      </c>
      <c r="E51" s="22" t="n">
        <v>125</v>
      </c>
      <c r="F51" s="21" t="s">
        <v>48</v>
      </c>
      <c r="G51" s="23" t="n">
        <f aca="false">IF(F51="% v/v",$D$3*1000*E51/100,E51*$D$3/Inputs!$B$9)</f>
        <v>1.575</v>
      </c>
      <c r="H51" s="21" t="s">
        <v>46</v>
      </c>
    </row>
    <row r="52" customFormat="false" ht="15" hidden="false" customHeight="false" outlineLevel="0" collapsed="false">
      <c r="A52" s="15" t="n">
        <v>10</v>
      </c>
      <c r="B52" s="16" t="s">
        <v>64</v>
      </c>
      <c r="C52" s="17" t="s">
        <v>84</v>
      </c>
      <c r="D52" s="16" t="s">
        <v>53</v>
      </c>
      <c r="E52" s="18" t="n">
        <v>125</v>
      </c>
      <c r="F52" s="17" t="s">
        <v>48</v>
      </c>
      <c r="G52" s="19" t="n">
        <f aca="false">IF(F52="% v/v",$D$3*1000*E52/100,E52*$D$3/Inputs!$B$9)</f>
        <v>1.575</v>
      </c>
      <c r="H52" s="17" t="s">
        <v>46</v>
      </c>
    </row>
    <row r="53" customFormat="false" ht="15" hidden="false" customHeight="false" outlineLevel="0" collapsed="false">
      <c r="A53" s="20" t="n">
        <v>11</v>
      </c>
      <c r="B53" s="7" t="s">
        <v>66</v>
      </c>
      <c r="C53" s="21" t="s">
        <v>84</v>
      </c>
      <c r="D53" s="7" t="s">
        <v>53</v>
      </c>
      <c r="E53" s="22" t="n">
        <v>125</v>
      </c>
      <c r="F53" s="21" t="s">
        <v>48</v>
      </c>
      <c r="G53" s="23" t="n">
        <f aca="false">IF(F53="% v/v",$D$3*1000*E53/100,E53*$D$3/Inputs!$B$9)</f>
        <v>1.575</v>
      </c>
      <c r="H53" s="21" t="s">
        <v>46</v>
      </c>
    </row>
    <row r="54" customFormat="false" ht="15" hidden="false" customHeight="false" outlineLevel="0" collapsed="false">
      <c r="A54" s="15" t="n">
        <v>12</v>
      </c>
      <c r="B54" s="16" t="s">
        <v>68</v>
      </c>
      <c r="C54" s="17" t="s">
        <v>84</v>
      </c>
      <c r="D54" s="16" t="s">
        <v>53</v>
      </c>
      <c r="E54" s="18" t="n">
        <v>125</v>
      </c>
      <c r="F54" s="17" t="s">
        <v>48</v>
      </c>
      <c r="G54" s="19" t="n">
        <f aca="false">IF(F54="% v/v",$D$3*1000*E54/100,E54*$D$3/Inputs!$B$9)</f>
        <v>1.575</v>
      </c>
      <c r="H54" s="17" t="s">
        <v>46</v>
      </c>
    </row>
    <row r="55" customFormat="false" ht="15" hidden="false" customHeight="false" outlineLevel="0" collapsed="false">
      <c r="A55" s="20" t="n">
        <v>13</v>
      </c>
      <c r="B55" s="7" t="s">
        <v>69</v>
      </c>
      <c r="C55" s="21" t="s">
        <v>84</v>
      </c>
      <c r="D55" s="7" t="s">
        <v>53</v>
      </c>
      <c r="E55" s="22" t="n">
        <v>125</v>
      </c>
      <c r="F55" s="21" t="s">
        <v>48</v>
      </c>
      <c r="G55" s="23" t="n">
        <f aca="false">IF(F55="% v/v",$D$3*1000*E55/100,E55*$D$3/Inputs!$B$9)</f>
        <v>1.575</v>
      </c>
      <c r="H55" s="21" t="s">
        <v>46</v>
      </c>
    </row>
    <row r="56" customFormat="false" ht="15" hidden="false" customHeight="false" outlineLevel="0" collapsed="false">
      <c r="A56" s="15" t="n">
        <v>14</v>
      </c>
      <c r="B56" s="16" t="s">
        <v>71</v>
      </c>
      <c r="C56" s="17" t="s">
        <v>84</v>
      </c>
      <c r="D56" s="16" t="s">
        <v>53</v>
      </c>
      <c r="E56" s="18" t="n">
        <v>125</v>
      </c>
      <c r="F56" s="17" t="s">
        <v>48</v>
      </c>
      <c r="G56" s="19" t="n">
        <f aca="false">IF(F56="% v/v",$D$3*1000*E56/100,E56*$D$3/Inputs!$B$9)</f>
        <v>1.575</v>
      </c>
      <c r="H56" s="17" t="s">
        <v>46</v>
      </c>
    </row>
    <row r="57" customFormat="false" ht="15" hidden="false" customHeight="false" outlineLevel="0" collapsed="false">
      <c r="A57" s="20" t="n">
        <v>15</v>
      </c>
      <c r="B57" s="7" t="s">
        <v>73</v>
      </c>
      <c r="C57" s="21" t="s">
        <v>84</v>
      </c>
      <c r="D57" s="7" t="s">
        <v>61</v>
      </c>
      <c r="E57" s="22" t="n">
        <v>750</v>
      </c>
      <c r="F57" s="21" t="s">
        <v>48</v>
      </c>
      <c r="G57" s="23" t="n">
        <f aca="false">IF(F57="% v/v",$D$3*1000*E57/100,E57*$D$3/Inputs!$B$9)</f>
        <v>9.45</v>
      </c>
      <c r="H57" s="21" t="s">
        <v>46</v>
      </c>
    </row>
    <row r="58" customFormat="false" ht="15" hidden="false" customHeight="false" outlineLevel="0" collapsed="false">
      <c r="A58" s="15" t="n">
        <v>16</v>
      </c>
      <c r="B58" s="16" t="s">
        <v>74</v>
      </c>
      <c r="C58" s="17" t="s">
        <v>84</v>
      </c>
      <c r="D58" s="16" t="s">
        <v>63</v>
      </c>
      <c r="E58" s="18" t="n">
        <v>150</v>
      </c>
      <c r="F58" s="17" t="s">
        <v>48</v>
      </c>
      <c r="G58" s="19" t="n">
        <f aca="false">IF(F58="% v/v",$D$3*1000*E58/100,E58*$D$3/Inputs!$B$9)</f>
        <v>1.89</v>
      </c>
      <c r="H58" s="17" t="s">
        <v>46</v>
      </c>
    </row>
    <row r="59" customFormat="false" ht="15" hidden="false" customHeight="false" outlineLevel="0" collapsed="false">
      <c r="A59" s="15"/>
      <c r="B59" s="16"/>
      <c r="C59" s="17"/>
      <c r="D59" s="16" t="s">
        <v>86</v>
      </c>
      <c r="E59" s="18" t="n">
        <v>300</v>
      </c>
      <c r="F59" s="17" t="s">
        <v>48</v>
      </c>
      <c r="G59" s="19" t="n">
        <f aca="false">IF(F59="% v/v",$D$3*1000*E59/100,E59*$D$3/Inputs!$B$9)</f>
        <v>3.78</v>
      </c>
      <c r="H59" s="17" t="s">
        <v>46</v>
      </c>
    </row>
    <row r="60" customFormat="false" ht="15" hidden="false" customHeight="false" outlineLevel="0" collapsed="false">
      <c r="A60" s="15"/>
      <c r="B60" s="16"/>
      <c r="C60" s="17"/>
      <c r="D60" s="16" t="s">
        <v>58</v>
      </c>
      <c r="E60" s="18" t="n">
        <v>0.25</v>
      </c>
      <c r="F60" s="17" t="s">
        <v>55</v>
      </c>
      <c r="G60" s="19" t="n">
        <f aca="false">IF(F60="% v/v",$D$3*1000*E60/100,E60*$D$3/Inputs!$B$9)</f>
        <v>3.15</v>
      </c>
      <c r="H60" s="17" t="s">
        <v>46</v>
      </c>
    </row>
    <row r="61" customFormat="false" ht="15" hidden="false" customHeight="false" outlineLevel="0" collapsed="false">
      <c r="A61" s="20" t="n">
        <v>17</v>
      </c>
      <c r="B61" s="7" t="s">
        <v>75</v>
      </c>
      <c r="C61" s="21" t="s">
        <v>84</v>
      </c>
      <c r="D61" s="7" t="s">
        <v>67</v>
      </c>
      <c r="E61" s="22" t="n">
        <v>300</v>
      </c>
      <c r="F61" s="21" t="s">
        <v>48</v>
      </c>
      <c r="G61" s="23" t="n">
        <f aca="false">IF(F61="% v/v",$D$3*1000*E61/100,E61*$D$3/Inputs!$B$9)</f>
        <v>3.78</v>
      </c>
      <c r="H61" s="21" t="s">
        <v>46</v>
      </c>
    </row>
    <row r="62" customFormat="false" ht="15" hidden="false" customHeight="false" outlineLevel="0" collapsed="false">
      <c r="A62" s="20"/>
      <c r="B62" s="7"/>
      <c r="C62" s="21"/>
      <c r="D62" s="7" t="s">
        <v>86</v>
      </c>
      <c r="E62" s="22" t="n">
        <v>300</v>
      </c>
      <c r="F62" s="21" t="s">
        <v>48</v>
      </c>
      <c r="G62" s="23" t="n">
        <f aca="false">IF(F62="% v/v",$D$3*1000*E62/100,E62*$D$3/Inputs!$B$9)</f>
        <v>3.78</v>
      </c>
      <c r="H62" s="21" t="s">
        <v>46</v>
      </c>
    </row>
    <row r="63" customFormat="false" ht="15" hidden="false" customHeight="false" outlineLevel="0" collapsed="false">
      <c r="A63" s="20"/>
      <c r="B63" s="7"/>
      <c r="C63" s="21"/>
      <c r="D63" s="7" t="s">
        <v>58</v>
      </c>
      <c r="E63" s="22" t="n">
        <v>0.25</v>
      </c>
      <c r="F63" s="21" t="s">
        <v>55</v>
      </c>
      <c r="G63" s="23" t="n">
        <f aca="false">IF(F63="% v/v",$D$3*1000*E63/100,E63*$D$3/Inputs!$B$9)</f>
        <v>3.15</v>
      </c>
      <c r="H63" s="21" t="s">
        <v>46</v>
      </c>
    </row>
    <row r="64" customFormat="false" ht="15" hidden="false" customHeight="false" outlineLevel="0" collapsed="false">
      <c r="A64" s="15" t="n">
        <v>18</v>
      </c>
      <c r="B64" s="16" t="s">
        <v>76</v>
      </c>
      <c r="C64" s="17" t="s">
        <v>84</v>
      </c>
      <c r="D64" s="16" t="s">
        <v>67</v>
      </c>
      <c r="E64" s="18" t="n">
        <v>500</v>
      </c>
      <c r="F64" s="17" t="s">
        <v>48</v>
      </c>
      <c r="G64" s="19" t="n">
        <f aca="false">IF(F64="% v/v",$D$3*1000*E64/100,E64*$D$3/Inputs!$B$9)</f>
        <v>6.3</v>
      </c>
      <c r="H64" s="17" t="s">
        <v>46</v>
      </c>
    </row>
    <row r="65" customFormat="false" ht="15" hidden="false" customHeight="false" outlineLevel="0" collapsed="false">
      <c r="A65" s="15"/>
      <c r="B65" s="16"/>
      <c r="C65" s="17"/>
      <c r="D65" s="16" t="s">
        <v>86</v>
      </c>
      <c r="E65" s="18" t="n">
        <v>300</v>
      </c>
      <c r="F65" s="17" t="s">
        <v>48</v>
      </c>
      <c r="G65" s="19" t="n">
        <f aca="false">IF(F65="% v/v",$D$3*1000*E65/100,E65*$D$3/Inputs!$B$9)</f>
        <v>3.78</v>
      </c>
      <c r="H65" s="17" t="s">
        <v>46</v>
      </c>
    </row>
    <row r="66" customFormat="false" ht="15" hidden="false" customHeight="false" outlineLevel="0" collapsed="false">
      <c r="A66" s="15"/>
      <c r="B66" s="16"/>
      <c r="C66" s="17"/>
      <c r="D66" s="16" t="s">
        <v>58</v>
      </c>
      <c r="E66" s="18" t="n">
        <v>0.25</v>
      </c>
      <c r="F66" s="17" t="s">
        <v>55</v>
      </c>
      <c r="G66" s="19" t="n">
        <f aca="false">IF(F66="% v/v",$D$3*1000*E66/100,E66*$D$3/Inputs!$B$9)</f>
        <v>3.15</v>
      </c>
      <c r="H66" s="17" t="s">
        <v>46</v>
      </c>
    </row>
    <row r="67" customFormat="false" ht="15" hidden="false" customHeight="false" outlineLevel="0" collapsed="false">
      <c r="A67" s="20" t="n">
        <v>19</v>
      </c>
      <c r="B67" s="7" t="s">
        <v>77</v>
      </c>
      <c r="C67" s="21" t="s">
        <v>84</v>
      </c>
      <c r="D67" s="7" t="s">
        <v>70</v>
      </c>
      <c r="E67" s="22" t="n">
        <v>500</v>
      </c>
      <c r="F67" s="21" t="s">
        <v>48</v>
      </c>
      <c r="G67" s="23" t="n">
        <f aca="false">IF(F67="% v/v",$D$3*1000*E67/100,E67*$D$3/Inputs!$B$9)</f>
        <v>6.3</v>
      </c>
      <c r="H67" s="21" t="s">
        <v>46</v>
      </c>
    </row>
    <row r="68" customFormat="false" ht="15" hidden="false" customHeight="false" outlineLevel="0" collapsed="false">
      <c r="A68" s="20"/>
      <c r="B68" s="7"/>
      <c r="C68" s="21"/>
      <c r="D68" s="7" t="s">
        <v>86</v>
      </c>
      <c r="E68" s="22" t="n">
        <v>300</v>
      </c>
      <c r="F68" s="21" t="s">
        <v>48</v>
      </c>
      <c r="G68" s="23" t="n">
        <f aca="false">IF(F68="% v/v",$D$3*1000*E68/100,E68*$D$3/Inputs!$B$9)</f>
        <v>3.78</v>
      </c>
      <c r="H68" s="21" t="s">
        <v>46</v>
      </c>
    </row>
    <row r="69" customFormat="false" ht="15" hidden="false" customHeight="false" outlineLevel="0" collapsed="false">
      <c r="A69" s="20"/>
      <c r="B69" s="7"/>
      <c r="C69" s="21"/>
      <c r="D69" s="7" t="s">
        <v>58</v>
      </c>
      <c r="E69" s="22" t="n">
        <v>0.25</v>
      </c>
      <c r="F69" s="21" t="s">
        <v>55</v>
      </c>
      <c r="G69" s="23" t="n">
        <f aca="false">IF(F69="% v/v",$D$3*1000*E69/100,E69*$D$3/Inputs!$B$9)</f>
        <v>3.15</v>
      </c>
      <c r="H69" s="21" t="s">
        <v>46</v>
      </c>
    </row>
    <row r="70" customFormat="false" ht="15" hidden="false" customHeight="false" outlineLevel="0" collapsed="false">
      <c r="A70" s="15" t="n">
        <v>20</v>
      </c>
      <c r="B70" s="16" t="s">
        <v>78</v>
      </c>
      <c r="C70" s="17" t="s">
        <v>84</v>
      </c>
      <c r="D70" s="16" t="s">
        <v>72</v>
      </c>
      <c r="E70" s="18" t="n">
        <v>750</v>
      </c>
      <c r="F70" s="17" t="s">
        <v>48</v>
      </c>
      <c r="G70" s="19" t="n">
        <f aca="false">IF(F70="% v/v",$D$3*1000*E70/100,E70*$D$3/Inputs!$B$9)</f>
        <v>9.45</v>
      </c>
      <c r="H70" s="17" t="s">
        <v>46</v>
      </c>
    </row>
    <row r="71" customFormat="false" ht="15" hidden="false" customHeight="false" outlineLevel="0" collapsed="false">
      <c r="A71" s="20" t="n">
        <v>21</v>
      </c>
      <c r="B71" s="7" t="s">
        <v>79</v>
      </c>
      <c r="C71" s="21" t="s">
        <v>84</v>
      </c>
      <c r="D71" s="7" t="s">
        <v>80</v>
      </c>
      <c r="E71" s="22" t="n">
        <v>500</v>
      </c>
      <c r="F71" s="21" t="s">
        <v>48</v>
      </c>
      <c r="G71" s="23" t="n">
        <f aca="false">IF(F71="% v/v",$D$3*1000*E71/100,E71*$D$3/Inputs!$B$9)</f>
        <v>6.3</v>
      </c>
      <c r="H71" s="21" t="s">
        <v>46</v>
      </c>
    </row>
    <row r="74" customFormat="false" ht="15" hidden="false" customHeight="false" outlineLevel="0" collapsed="false">
      <c r="A74" s="11" t="s">
        <v>87</v>
      </c>
    </row>
    <row r="75" customFormat="false" ht="15" hidden="false" customHeight="false" outlineLevel="0" collapsed="false">
      <c r="A75" s="3" t="s">
        <v>39</v>
      </c>
      <c r="B75" s="4" t="s">
        <v>88</v>
      </c>
    </row>
    <row r="76" customFormat="false" ht="15" hidden="false" customHeight="false" outlineLevel="0" collapsed="false">
      <c r="A76" s="7" t="s">
        <v>52</v>
      </c>
      <c r="B76" s="23" t="n">
        <f aca="false">SUMIF($D$6:$D$71,A76,$G$6:$G$71)</f>
        <v>4.032</v>
      </c>
    </row>
    <row r="77" customFormat="false" ht="15" hidden="false" customHeight="false" outlineLevel="0" collapsed="false">
      <c r="A77" s="7" t="s">
        <v>47</v>
      </c>
      <c r="B77" s="23" t="n">
        <f aca="false">SUMIF($D$6:$D$71,A77,$G$6:$G$71)</f>
        <v>6.3</v>
      </c>
    </row>
    <row r="78" customFormat="false" ht="15" hidden="false" customHeight="false" outlineLevel="0" collapsed="false">
      <c r="A78" s="7" t="s">
        <v>58</v>
      </c>
      <c r="B78" s="23" t="n">
        <f aca="false">SUMIF($D$6:$D$71,A78,$G$6:$G$71)</f>
        <v>31.5</v>
      </c>
    </row>
    <row r="79" customFormat="false" ht="15" hidden="false" customHeight="false" outlineLevel="0" collapsed="false">
      <c r="A79" s="7" t="s">
        <v>61</v>
      </c>
      <c r="B79" s="23" t="n">
        <f aca="false">SUMIF($D$6:$D$71,A79,$G$6:$G$71)</f>
        <v>28.35</v>
      </c>
    </row>
    <row r="80" customFormat="false" ht="15" hidden="false" customHeight="false" outlineLevel="0" collapsed="false">
      <c r="A80" s="7" t="s">
        <v>72</v>
      </c>
      <c r="B80" s="23" t="n">
        <f aca="false">SUMIF($D$6:$D$71,A80,$G$6:$G$71)</f>
        <v>18.9</v>
      </c>
    </row>
    <row r="81" customFormat="false" ht="15" hidden="false" customHeight="false" outlineLevel="0" collapsed="false">
      <c r="A81" s="7" t="s">
        <v>49</v>
      </c>
      <c r="B81" s="23" t="n">
        <f aca="false">SUMIF($D$6:$D$71,A81,$G$6:$G$71)</f>
        <v>6.3</v>
      </c>
    </row>
    <row r="82" customFormat="false" ht="15" hidden="false" customHeight="false" outlineLevel="0" collapsed="false">
      <c r="A82" s="7" t="s">
        <v>70</v>
      </c>
      <c r="B82" s="23" t="n">
        <f aca="false">SUMIF($D$6:$D$71,A82,$G$6:$G$71)</f>
        <v>12.6</v>
      </c>
    </row>
    <row r="83" customFormat="false" ht="15" hidden="false" customHeight="false" outlineLevel="0" collapsed="false">
      <c r="A83" s="7" t="s">
        <v>63</v>
      </c>
      <c r="B83" s="23" t="n">
        <f aca="false">SUMIF($D$6:$D$71,A83,$G$6:$G$71)</f>
        <v>3.78</v>
      </c>
    </row>
    <row r="84" customFormat="false" ht="15" hidden="false" customHeight="false" outlineLevel="0" collapsed="false">
      <c r="A84" s="7" t="s">
        <v>65</v>
      </c>
      <c r="B84" s="23" t="n">
        <f aca="false">SUMIF($D$6:$D$71,A84,$G$6:$G$71)</f>
        <v>1.89</v>
      </c>
    </row>
    <row r="85" customFormat="false" ht="15" hidden="false" customHeight="false" outlineLevel="0" collapsed="false">
      <c r="A85" s="7" t="s">
        <v>54</v>
      </c>
      <c r="B85" s="23" t="n">
        <f aca="false">SUMIF($D$6:$D$71,A85,$G$6:$G$71)</f>
        <v>6.3</v>
      </c>
    </row>
    <row r="86" customFormat="false" ht="15" hidden="false" customHeight="false" outlineLevel="0" collapsed="false">
      <c r="A86" s="7" t="s">
        <v>80</v>
      </c>
      <c r="B86" s="23" t="n">
        <f aca="false">SUMIF($D$6:$D$71,A86,$G$6:$G$71)</f>
        <v>18.9</v>
      </c>
    </row>
    <row r="87" customFormat="false" ht="15" hidden="false" customHeight="false" outlineLevel="0" collapsed="false">
      <c r="A87" s="7" t="s">
        <v>50</v>
      </c>
      <c r="B87" s="23" t="n">
        <f aca="false">SUMIF($D$6:$D$71,A87,$G$6:$G$71)</f>
        <v>9.45</v>
      </c>
    </row>
    <row r="88" customFormat="false" ht="15" hidden="false" customHeight="false" outlineLevel="0" collapsed="false">
      <c r="A88" s="7" t="s">
        <v>57</v>
      </c>
      <c r="B88" s="23" t="n">
        <f aca="false">SUMIF($D$6:$D$71,A88,$G$6:$G$71)</f>
        <v>3.024</v>
      </c>
    </row>
    <row r="89" customFormat="false" ht="15" hidden="false" customHeight="false" outlineLevel="0" collapsed="false">
      <c r="A89" s="7" t="s">
        <v>86</v>
      </c>
      <c r="B89" s="23" t="n">
        <f aca="false">SUMIF($D$6:$D$71,A89,$G$6:$G$71)</f>
        <v>15.12</v>
      </c>
    </row>
    <row r="90" customFormat="false" ht="15" hidden="false" customHeight="false" outlineLevel="0" collapsed="false">
      <c r="A90" s="7" t="s">
        <v>56</v>
      </c>
      <c r="B90" s="23" t="n">
        <f aca="false">SUMIF($D$6:$D$71,A90,$G$6:$G$71)</f>
        <v>15.12</v>
      </c>
    </row>
    <row r="91" customFormat="false" ht="15" hidden="false" customHeight="false" outlineLevel="0" collapsed="false">
      <c r="A91" s="7" t="s">
        <v>59</v>
      </c>
      <c r="B91" s="23" t="n">
        <f aca="false">SUMIF($D$6:$D$71,A91,$G$6:$G$71)</f>
        <v>9.45</v>
      </c>
    </row>
    <row r="92" customFormat="false" ht="15" hidden="false" customHeight="false" outlineLevel="0" collapsed="false">
      <c r="A92" s="7" t="s">
        <v>53</v>
      </c>
      <c r="B92" s="23" t="n">
        <f aca="false">SUMIF($D$6:$D$71,A92,$G$6:$G$71)</f>
        <v>33.075</v>
      </c>
    </row>
    <row r="93" customFormat="false" ht="15" hidden="false" customHeight="false" outlineLevel="0" collapsed="false">
      <c r="A93" s="7" t="s">
        <v>67</v>
      </c>
      <c r="B93" s="23" t="n">
        <f aca="false">SUMIF($D$6:$D$71,A93,$G$6:$G$71)</f>
        <v>20.16</v>
      </c>
    </row>
    <row r="95" customFormat="false" ht="15" hidden="false" customHeight="false" outlineLevel="0" collapsed="false">
      <c r="A95" s="12" t="s">
        <v>89</v>
      </c>
    </row>
    <row r="96" customFormat="false" ht="15" hidden="false" customHeight="false" outlineLevel="0" collapsed="false">
      <c r="A96" s="12" t="s">
        <v>90</v>
      </c>
    </row>
    <row r="97" customFormat="false" ht="15" hidden="false" customHeight="false" outlineLevel="0" collapsed="false">
      <c r="A97" s="12" t="s">
        <v>91</v>
      </c>
    </row>
    <row r="98" customFormat="false" ht="15" hidden="false" customHeight="false" outlineLevel="0" collapsed="false">
      <c r="A98" s="12" t="s">
        <v>92</v>
      </c>
    </row>
    <row r="99" customFormat="false" ht="15" hidden="false" customHeight="false" outlineLevel="0" collapsed="false">
      <c r="A99" s="12" t="s">
        <v>93</v>
      </c>
    </row>
    <row r="100" customFormat="false" ht="15" hidden="false" customHeight="false" outlineLevel="0" collapsed="false">
      <c r="A100" s="12" t="s">
        <v>94</v>
      </c>
    </row>
    <row r="101" customFormat="false" ht="15" hidden="false" customHeight="false" outlineLevel="0" collapsed="false">
      <c r="A101" s="1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32.4"/>
    <col collapsed="false" customWidth="true" hidden="false" outlineLevel="0" max="5" min="3" style="0" width="11.39"/>
    <col collapsed="false" customWidth="true" hidden="false" outlineLevel="0" max="6" min="6" style="0" width="12.4"/>
    <col collapsed="false" customWidth="true" hidden="false" outlineLevel="0" max="7" min="7" style="0" width="13.3"/>
    <col collapsed="false" customWidth="true" hidden="false" outlineLevel="0" max="8" min="8" style="0" width="62.9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24" t="s">
        <v>96</v>
      </c>
    </row>
    <row r="3" customFormat="false" ht="15" hidden="false" customHeight="false" outlineLevel="0" collapsed="false">
      <c r="A3" s="12" t="s">
        <v>97</v>
      </c>
    </row>
    <row r="5" customFormat="false" ht="15" hidden="false" customHeight="false" outlineLevel="0" collapsed="false">
      <c r="A5" s="25" t="s">
        <v>36</v>
      </c>
      <c r="B5" s="26" t="s">
        <v>37</v>
      </c>
      <c r="C5" s="25" t="s">
        <v>98</v>
      </c>
      <c r="D5" s="25" t="s">
        <v>99</v>
      </c>
      <c r="E5" s="25" t="s">
        <v>100</v>
      </c>
      <c r="F5" s="25" t="s">
        <v>101</v>
      </c>
      <c r="G5" s="25" t="s">
        <v>102</v>
      </c>
      <c r="H5" s="25" t="s">
        <v>103</v>
      </c>
    </row>
    <row r="6" customFormat="false" ht="15" hidden="false" customHeight="false" outlineLevel="0" collapsed="false">
      <c r="A6" s="27" t="n">
        <v>1</v>
      </c>
      <c r="B6" s="28" t="str">
        <f aca="false">INDEX('Wheat Mixing'!$B$6:$B$42,MATCH($A6,'Wheat Mixing'!$A$6:$A$42,0))</f>
        <v>Untreated</v>
      </c>
      <c r="C6" s="29" t="n">
        <v>101</v>
      </c>
      <c r="D6" s="29" t="n">
        <v>604</v>
      </c>
      <c r="E6" s="29" t="n">
        <v>906</v>
      </c>
      <c r="F6" s="30"/>
      <c r="G6" s="29" t="s">
        <v>104</v>
      </c>
      <c r="H6" s="31"/>
    </row>
    <row r="7" customFormat="false" ht="15" hidden="false" customHeight="false" outlineLevel="0" collapsed="false">
      <c r="A7" s="27" t="n">
        <v>2</v>
      </c>
      <c r="B7" s="28" t="str">
        <f aca="false">INDEX('Wheat Mixing'!$B$6:$B$42,MATCH($A7,'Wheat Mixing'!$A$6:$A$42,0))</f>
        <v>Aviator Xpro</v>
      </c>
      <c r="C7" s="29" t="n">
        <v>102</v>
      </c>
      <c r="D7" s="29" t="n">
        <v>902</v>
      </c>
      <c r="E7" s="29" t="n">
        <v>1002</v>
      </c>
      <c r="F7" s="30"/>
      <c r="G7" s="29" t="s">
        <v>105</v>
      </c>
      <c r="H7" s="31"/>
    </row>
    <row r="8" customFormat="false" ht="15" hidden="false" customHeight="false" outlineLevel="0" collapsed="false">
      <c r="A8" s="27" t="n">
        <v>3</v>
      </c>
      <c r="B8" s="28" t="str">
        <f aca="false">INDEX('Wheat Mixing'!$B$6:$B$42,MATCH($A8,'Wheat Mixing'!$A$6:$A$42,0))</f>
        <v>Elatus Ace</v>
      </c>
      <c r="C8" s="29" t="n">
        <v>103</v>
      </c>
      <c r="D8" s="29" t="n">
        <v>808</v>
      </c>
      <c r="E8" s="29" t="n">
        <v>1108</v>
      </c>
      <c r="F8" s="30"/>
      <c r="G8" s="29" t="s">
        <v>105</v>
      </c>
      <c r="H8" s="31"/>
    </row>
    <row r="9" customFormat="false" ht="15" hidden="false" customHeight="false" outlineLevel="0" collapsed="false">
      <c r="A9" s="27" t="n">
        <v>4</v>
      </c>
      <c r="B9" s="28" t="str">
        <f aca="false">INDEX('Wheat Mixing'!$B$6:$B$42,MATCH($A9,'Wheat Mixing'!$A$6:$A$42,0))</f>
        <v>Opera</v>
      </c>
      <c r="C9" s="29" t="n">
        <v>104</v>
      </c>
      <c r="D9" s="29" t="n">
        <v>601</v>
      </c>
      <c r="E9" s="29" t="n">
        <v>1103</v>
      </c>
      <c r="F9" s="30"/>
      <c r="G9" s="29" t="s">
        <v>105</v>
      </c>
      <c r="H9" s="31"/>
    </row>
    <row r="10" customFormat="false" ht="15" hidden="false" customHeight="false" outlineLevel="0" collapsed="false">
      <c r="A10" s="27" t="n">
        <v>5</v>
      </c>
      <c r="B10" s="28" t="str">
        <f aca="false">INDEX('Wheat Mixing'!$B$6:$B$42,MATCH($A10,'Wheat Mixing'!$A$6:$A$42,0))</f>
        <v>Radial Opti (made up)</v>
      </c>
      <c r="C10" s="29" t="n">
        <v>105</v>
      </c>
      <c r="D10" s="29" t="n">
        <v>606</v>
      </c>
      <c r="E10" s="29" t="n">
        <v>1207</v>
      </c>
      <c r="F10" s="30"/>
      <c r="G10" s="29" t="s">
        <v>105</v>
      </c>
      <c r="H10" s="31" t="s">
        <v>106</v>
      </c>
    </row>
    <row r="11" customFormat="false" ht="15" hidden="false" customHeight="false" outlineLevel="0" collapsed="false">
      <c r="A11" s="27" t="n">
        <v>6</v>
      </c>
      <c r="B11" s="28" t="str">
        <f aca="false">INDEX('Wheat Mixing'!$B$6:$B$42,MATCH($A11,'Wheat Mixing'!$A$6:$A$42,0))</f>
        <v>Proviso Opti</v>
      </c>
      <c r="C11" s="29" t="n">
        <v>106</v>
      </c>
      <c r="D11" s="29" t="n">
        <v>701</v>
      </c>
      <c r="E11" s="29" t="n">
        <v>1204</v>
      </c>
      <c r="F11" s="30"/>
      <c r="G11" s="29" t="s">
        <v>105</v>
      </c>
      <c r="H11" s="31"/>
    </row>
    <row r="12" customFormat="false" ht="15" hidden="false" customHeight="false" outlineLevel="0" collapsed="false">
      <c r="A12" s="27" t="n">
        <v>7</v>
      </c>
      <c r="B12" s="28" t="str">
        <f aca="false">INDEX('Wheat Mixing'!$B$6:$B$42,MATCH($A12,'Wheat Mixing'!$A$6:$A$42,0))</f>
        <v>Revystar</v>
      </c>
      <c r="C12" s="29" t="n">
        <v>107</v>
      </c>
      <c r="D12" s="29" t="n">
        <v>605</v>
      </c>
      <c r="E12" s="29" t="n">
        <v>1006</v>
      </c>
      <c r="F12" s="30"/>
      <c r="G12" s="29" t="s">
        <v>105</v>
      </c>
      <c r="H12" s="31"/>
    </row>
    <row r="13" customFormat="false" ht="15" hidden="false" customHeight="false" outlineLevel="0" collapsed="false">
      <c r="A13" s="27" t="n">
        <v>8</v>
      </c>
      <c r="B13" s="28" t="str">
        <f aca="false">INDEX('Wheat Mixing'!$B$6:$B$42,MATCH($A13,'Wheat Mixing'!$A$6:$A$42,0))</f>
        <v>Balaya A+B</v>
      </c>
      <c r="C13" s="29" t="n">
        <v>108</v>
      </c>
      <c r="D13" s="29" t="n">
        <v>802</v>
      </c>
      <c r="E13" s="29" t="n">
        <v>1007</v>
      </c>
      <c r="F13" s="30"/>
      <c r="G13" s="29" t="s">
        <v>105</v>
      </c>
      <c r="H13" s="31" t="s">
        <v>107</v>
      </c>
    </row>
    <row r="14" customFormat="false" ht="15" hidden="false" customHeight="false" outlineLevel="0" collapsed="false">
      <c r="A14" s="27" t="n">
        <v>9</v>
      </c>
      <c r="B14" s="28" t="str">
        <f aca="false">INDEX('Wheat Mixing'!$B$6:$B$42,MATCH($A14,'Wheat Mixing'!$A$6:$A$42,0))</f>
        <v>Flute A</v>
      </c>
      <c r="C14" s="29" t="n">
        <v>202</v>
      </c>
      <c r="D14" s="29" t="n">
        <v>603</v>
      </c>
      <c r="E14" s="29" t="n">
        <v>1003</v>
      </c>
      <c r="F14" s="30"/>
      <c r="G14" s="29" t="s">
        <v>105</v>
      </c>
      <c r="H14" s="31"/>
    </row>
    <row r="15" customFormat="false" ht="15" hidden="false" customHeight="false" outlineLevel="0" collapsed="false">
      <c r="A15" s="27" t="n">
        <v>10</v>
      </c>
      <c r="B15" s="28" t="str">
        <f aca="false">INDEX('Wheat Mixing'!$B$6:$B$42,MATCH($A15,'Wheat Mixing'!$A$6:$A$42,0))</f>
        <v>Experimental 1 A</v>
      </c>
      <c r="C15" s="29" t="n">
        <v>203</v>
      </c>
      <c r="D15" s="29" t="n">
        <v>807</v>
      </c>
      <c r="E15" s="29" t="n">
        <v>1105</v>
      </c>
      <c r="F15" s="30"/>
      <c r="G15" s="29" t="s">
        <v>105</v>
      </c>
      <c r="H15" s="31"/>
    </row>
    <row r="16" customFormat="false" ht="15" hidden="false" customHeight="false" outlineLevel="0" collapsed="false">
      <c r="A16" s="27" t="n">
        <v>11</v>
      </c>
      <c r="B16" s="28" t="str">
        <f aca="false">INDEX('Wheat Mixing'!$B$6:$B$42,MATCH($A16,'Wheat Mixing'!$A$6:$A$42,0))</f>
        <v>Experimental 2 AL</v>
      </c>
      <c r="C16" s="29" t="n">
        <v>206</v>
      </c>
      <c r="D16" s="29" t="n">
        <v>704</v>
      </c>
      <c r="E16" s="29" t="n">
        <v>903</v>
      </c>
      <c r="F16" s="30"/>
      <c r="G16" s="29" t="s">
        <v>105</v>
      </c>
      <c r="H16" s="31" t="s">
        <v>108</v>
      </c>
    </row>
    <row r="17" customFormat="false" ht="15" hidden="false" customHeight="false" outlineLevel="0" collapsed="false">
      <c r="A17" s="27" t="n">
        <v>12</v>
      </c>
      <c r="B17" s="28" t="str">
        <f aca="false">INDEX('Wheat Mixing'!$B$6:$B$42,MATCH($A17,'Wheat Mixing'!$A$6:$A$42,0))</f>
        <v>Experimental 2 AH</v>
      </c>
      <c r="C17" s="29" t="n">
        <v>207</v>
      </c>
      <c r="D17" s="29" t="n">
        <v>705</v>
      </c>
      <c r="E17" s="29" t="n">
        <v>1008</v>
      </c>
      <c r="F17" s="30"/>
      <c r="G17" s="29" t="s">
        <v>105</v>
      </c>
      <c r="H17" s="31"/>
    </row>
    <row r="18" customFormat="false" ht="15" hidden="false" customHeight="false" outlineLevel="0" collapsed="false">
      <c r="A18" s="27" t="n">
        <v>13</v>
      </c>
      <c r="B18" s="28" t="str">
        <f aca="false">INDEX('Wheat Mixing'!$B$6:$B$42,MATCH($A18,'Wheat Mixing'!$A$6:$A$42,0))</f>
        <v>Experimental 3 A</v>
      </c>
      <c r="C18" s="29" t="n">
        <v>301</v>
      </c>
      <c r="D18" s="29" t="n">
        <v>602</v>
      </c>
      <c r="E18" s="29" t="n">
        <v>1004</v>
      </c>
      <c r="F18" s="30"/>
      <c r="G18" s="29" t="s">
        <v>105</v>
      </c>
      <c r="H18" s="31"/>
    </row>
    <row r="19" customFormat="false" ht="15" hidden="false" customHeight="false" outlineLevel="0" collapsed="false">
      <c r="A19" s="27" t="n">
        <v>14</v>
      </c>
      <c r="B19" s="28" t="str">
        <f aca="false">INDEX('Wheat Mixing'!$B$6:$B$42,MATCH($A19,'Wheat Mixing'!$A$6:$A$42,0))</f>
        <v>Experimental 4 A</v>
      </c>
      <c r="C19" s="29" t="n">
        <v>302</v>
      </c>
      <c r="D19" s="29" t="n">
        <v>804</v>
      </c>
      <c r="E19" s="29" t="n">
        <v>904</v>
      </c>
      <c r="F19" s="30"/>
      <c r="G19" s="29" t="s">
        <v>105</v>
      </c>
      <c r="H19" s="31"/>
    </row>
    <row r="20" customFormat="false" ht="15" hidden="false" customHeight="false" outlineLevel="0" collapsed="false">
      <c r="A20" s="27" t="n">
        <v>15</v>
      </c>
      <c r="B20" s="28" t="str">
        <f aca="false">INDEX('Wheat Mixing'!$B$6:$B$42,MATCH($A20,'Wheat Mixing'!$A$6:$A$42,0))</f>
        <v>Balaya B</v>
      </c>
      <c r="C20" s="29" t="n">
        <v>303</v>
      </c>
      <c r="D20" s="29" t="n">
        <v>703</v>
      </c>
      <c r="E20" s="29" t="n">
        <v>1206</v>
      </c>
      <c r="F20" s="30"/>
      <c r="G20" s="29" t="s">
        <v>105</v>
      </c>
      <c r="H20" s="31"/>
    </row>
    <row r="21" customFormat="false" ht="15" hidden="false" customHeight="false" outlineLevel="0" collapsed="false">
      <c r="A21" s="27" t="n">
        <v>16</v>
      </c>
      <c r="B21" s="28" t="str">
        <f aca="false">INDEX('Wheat Mixing'!$B$6:$B$42,MATCH($A21,'Wheat Mixing'!$A$6:$A$42,0))</f>
        <v>Flute B</v>
      </c>
      <c r="C21" s="29" t="n">
        <v>304</v>
      </c>
      <c r="D21" s="29" t="n">
        <v>607</v>
      </c>
      <c r="E21" s="29" t="n">
        <v>1107</v>
      </c>
      <c r="F21" s="30"/>
      <c r="G21" s="29" t="s">
        <v>105</v>
      </c>
      <c r="H21" s="31"/>
    </row>
    <row r="22" customFormat="false" ht="15" hidden="false" customHeight="false" outlineLevel="0" collapsed="false">
      <c r="A22" s="27" t="n">
        <v>17</v>
      </c>
      <c r="B22" s="28" t="str">
        <f aca="false">INDEX('Wheat Mixing'!$B$6:$B$42,MATCH($A22,'Wheat Mixing'!$A$6:$A$42,0))</f>
        <v>Experimental 2 BL</v>
      </c>
      <c r="C22" s="29" t="n">
        <v>305</v>
      </c>
      <c r="D22" s="29" t="n">
        <v>707</v>
      </c>
      <c r="E22" s="29" t="n">
        <v>1005</v>
      </c>
      <c r="F22" s="30"/>
      <c r="G22" s="29" t="s">
        <v>105</v>
      </c>
      <c r="H22" s="31"/>
    </row>
    <row r="23" customFormat="false" ht="15" hidden="false" customHeight="false" outlineLevel="0" collapsed="false">
      <c r="A23" s="27" t="n">
        <v>18</v>
      </c>
      <c r="B23" s="28" t="str">
        <f aca="false">INDEX('Wheat Mixing'!$B$6:$B$42,MATCH($A23,'Wheat Mixing'!$A$6:$A$42,0))</f>
        <v>Experimental 2 BH</v>
      </c>
      <c r="C23" s="29" t="n">
        <v>306</v>
      </c>
      <c r="D23" s="29" t="n">
        <v>702</v>
      </c>
      <c r="E23" s="29" t="n">
        <v>1205</v>
      </c>
      <c r="F23" s="30"/>
      <c r="G23" s="29" t="s">
        <v>105</v>
      </c>
      <c r="H23" s="31"/>
    </row>
    <row r="24" customFormat="false" ht="15" hidden="false" customHeight="false" outlineLevel="0" collapsed="false">
      <c r="A24" s="27" t="n">
        <v>19</v>
      </c>
      <c r="B24" s="28" t="str">
        <f aca="false">INDEX('Wheat Mixing'!$B$6:$B$42,MATCH($A24,'Wheat Mixing'!$A$6:$A$42,0))</f>
        <v>Experimental 3 B</v>
      </c>
      <c r="C24" s="29" t="n">
        <v>307</v>
      </c>
      <c r="D24" s="29" t="n">
        <v>608</v>
      </c>
      <c r="E24" s="29" t="n">
        <v>907</v>
      </c>
      <c r="F24" s="30"/>
      <c r="G24" s="29" t="s">
        <v>105</v>
      </c>
      <c r="H24" s="31"/>
    </row>
    <row r="25" customFormat="false" ht="15" hidden="false" customHeight="false" outlineLevel="0" collapsed="false">
      <c r="A25" s="27" t="n">
        <v>20</v>
      </c>
      <c r="B25" s="28" t="str">
        <f aca="false">INDEX('Wheat Mixing'!$B$6:$B$42,MATCH($A25,'Wheat Mixing'!$A$6:$A$42,0))</f>
        <v>Experimental 4 B</v>
      </c>
      <c r="C25" s="29" t="n">
        <v>308</v>
      </c>
      <c r="D25" s="29" t="n">
        <v>805</v>
      </c>
      <c r="E25" s="29" t="n">
        <v>1102</v>
      </c>
      <c r="F25" s="30"/>
      <c r="G25" s="29" t="s">
        <v>105</v>
      </c>
      <c r="H25" s="31"/>
    </row>
    <row r="26" customFormat="false" ht="15" hidden="false" customHeight="false" outlineLevel="0" collapsed="false">
      <c r="A26" s="27" t="n">
        <v>21</v>
      </c>
      <c r="B26" s="28" t="str">
        <f aca="false">INDEX('Wheat Mixing'!$B$6:$B$42,MATCH($A26,'Wheat Mixing'!$A$6:$A$42,0))</f>
        <v>Marvis A+B</v>
      </c>
      <c r="C26" s="29" t="n">
        <v>403</v>
      </c>
      <c r="D26" s="29" t="n">
        <v>806</v>
      </c>
      <c r="E26" s="29" t="n">
        <v>1202</v>
      </c>
      <c r="F26" s="30"/>
      <c r="G26" s="29" t="s">
        <v>105</v>
      </c>
      <c r="H26" s="31"/>
    </row>
    <row r="27" customFormat="false" ht="15" hidden="false" customHeight="false" outlineLevel="0" collapsed="false">
      <c r="A27" s="27" t="n">
        <v>22</v>
      </c>
      <c r="B27" s="28" t="str">
        <f aca="false">INDEX('Wheat Mixing'!$B$6:$B$42,MATCH($A27,'Wheat Mixing'!$A$6:$A$42,0))</f>
        <v>Marvis A</v>
      </c>
      <c r="C27" s="29" t="n">
        <v>406</v>
      </c>
      <c r="D27" s="29" t="n">
        <v>803</v>
      </c>
      <c r="E27" s="29" t="n">
        <v>1203</v>
      </c>
      <c r="F27" s="30"/>
      <c r="G27" s="29" t="s">
        <v>104</v>
      </c>
      <c r="H27" s="31"/>
    </row>
    <row r="28" customFormat="false" ht="15" hidden="false" customHeight="false" outlineLevel="0" collapsed="false">
      <c r="A28" s="27" t="n">
        <v>23</v>
      </c>
      <c r="B28" s="28" t="str">
        <f aca="false">INDEX('Wheat Mixing'!$B$6:$B$42,MATCH($A28,'Wheat Mixing'!$A$6:$A$42,0))</f>
        <v>Balaya A</v>
      </c>
      <c r="C28" s="29" t="n">
        <v>407</v>
      </c>
      <c r="D28" s="29" t="n">
        <v>706</v>
      </c>
      <c r="E28" s="29" t="n">
        <v>1208</v>
      </c>
      <c r="F28" s="30"/>
      <c r="G28" s="29" t="s">
        <v>104</v>
      </c>
      <c r="H28" s="31"/>
    </row>
    <row r="29" customFormat="false" ht="15" hidden="false" customHeight="false" outlineLevel="0" collapsed="false">
      <c r="A29" s="27" t="n">
        <v>24</v>
      </c>
      <c r="B29" s="28" t="str">
        <f aca="false">INDEX('Wheat Mixing'!$B$6:$B$42,MATCH($A29,'Wheat Mixing'!$A$6:$A$42,0))</f>
        <v>Opus A</v>
      </c>
      <c r="C29" s="29" t="n">
        <v>408</v>
      </c>
      <c r="D29" s="29" t="n">
        <v>708</v>
      </c>
      <c r="E29" s="29" t="n">
        <v>905</v>
      </c>
      <c r="F29" s="30"/>
      <c r="G29" s="29" t="s">
        <v>104</v>
      </c>
      <c r="H29" s="31" t="s">
        <v>109</v>
      </c>
    </row>
    <row r="31" customFormat="false" ht="15" hidden="false" customHeight="false" outlineLevel="0" collapsed="false">
      <c r="A31" s="13" t="s">
        <v>110</v>
      </c>
      <c r="D31" s="32" t="n">
        <f aca="false">COUNT(C6:F29)</f>
        <v>72</v>
      </c>
    </row>
    <row r="33" customFormat="false" ht="15" hidden="false" customHeight="false" outlineLevel="0" collapsed="false">
      <c r="A33" s="12" t="s">
        <v>111</v>
      </c>
    </row>
    <row r="34" customFormat="false" ht="15" hidden="false" customHeight="false" outlineLevel="0" collapsed="false">
      <c r="A34" s="12" t="s">
        <v>112</v>
      </c>
    </row>
    <row r="35" customFormat="false" ht="15" hidden="false" customHeight="false" outlineLevel="0" collapsed="false">
      <c r="A35" s="12" t="s">
        <v>113</v>
      </c>
    </row>
    <row r="36" customFormat="false" ht="15" hidden="false" customHeight="false" outlineLevel="0" collapsed="false">
      <c r="A36" s="12" t="s">
        <v>114</v>
      </c>
    </row>
    <row r="37" customFormat="false" ht="15" hidden="false" customHeight="false" outlineLevel="0" collapsed="false">
      <c r="A37" s="1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24" t="s">
        <v>116</v>
      </c>
    </row>
    <row r="3" customFormat="false" ht="15" hidden="false" customHeight="false" outlineLevel="0" collapsed="false">
      <c r="A3" s="12" t="s">
        <v>117</v>
      </c>
    </row>
    <row r="5" customFormat="false" ht="15" hidden="false" customHeight="false" outlineLevel="0" collapsed="false">
      <c r="A5" s="33" t="s">
        <v>118</v>
      </c>
    </row>
    <row r="6" customFormat="false" ht="15" hidden="false" customHeight="false" outlineLevel="0" collapsed="false">
      <c r="A6" s="13" t="s">
        <v>119</v>
      </c>
      <c r="B6" s="34"/>
    </row>
    <row r="7" customFormat="false" ht="15" hidden="false" customHeight="false" outlineLevel="0" collapsed="false">
      <c r="A7" s="13" t="s">
        <v>120</v>
      </c>
      <c r="B7" s="35" t="s">
        <v>121</v>
      </c>
    </row>
    <row r="8" customFormat="false" ht="15" hidden="false" customHeight="false" outlineLevel="0" collapsed="false">
      <c r="A8" s="13" t="s">
        <v>122</v>
      </c>
      <c r="B8" s="35" t="s">
        <v>123</v>
      </c>
    </row>
    <row r="9" customFormat="false" ht="15" hidden="false" customHeight="false" outlineLevel="0" collapsed="false">
      <c r="A9" s="13" t="s">
        <v>124</v>
      </c>
      <c r="B9" s="36"/>
    </row>
    <row r="10" customFormat="false" ht="15" hidden="false" customHeight="false" outlineLevel="0" collapsed="false">
      <c r="A10" s="13" t="s">
        <v>125</v>
      </c>
      <c r="B10" s="35" t="str">
        <f aca="false">Inputs!B9&amp;" "&amp;Inputs!C9</f>
        <v>100 L/ha</v>
      </c>
    </row>
    <row r="12" customFormat="false" ht="15" hidden="false" customHeight="false" outlineLevel="0" collapsed="false">
      <c r="A12" s="3" t="s">
        <v>126</v>
      </c>
      <c r="B12" s="4" t="s">
        <v>38</v>
      </c>
      <c r="C12" s="3" t="s">
        <v>127</v>
      </c>
      <c r="D12" s="3" t="s">
        <v>128</v>
      </c>
      <c r="E12" s="3" t="s">
        <v>129</v>
      </c>
      <c r="F12" s="3" t="s">
        <v>130</v>
      </c>
      <c r="G12" s="3" t="s">
        <v>131</v>
      </c>
      <c r="H12" s="3" t="s">
        <v>132</v>
      </c>
      <c r="I12" s="3" t="s">
        <v>133</v>
      </c>
      <c r="J12" s="3" t="s">
        <v>103</v>
      </c>
    </row>
    <row r="13" customFormat="false" ht="15" hidden="false" customHeight="false" outlineLevel="0" collapsed="false">
      <c r="A13" s="21" t="s">
        <v>134</v>
      </c>
      <c r="B13" s="21" t="s">
        <v>44</v>
      </c>
      <c r="C13" s="37"/>
      <c r="D13" s="37"/>
      <c r="E13" s="38"/>
      <c r="F13" s="38"/>
      <c r="G13" s="38"/>
      <c r="H13" s="21" t="n">
        <f aca="false">Inputs!$B$9</f>
        <v>100</v>
      </c>
      <c r="I13" s="21" t="n">
        <f aca="false">'Ringwood Wheat Plots'!$D$31</f>
        <v>72</v>
      </c>
      <c r="J13" s="39"/>
    </row>
    <row r="14" customFormat="false" ht="15" hidden="false" customHeight="false" outlineLevel="0" collapsed="false">
      <c r="A14" s="21" t="s">
        <v>134</v>
      </c>
      <c r="B14" s="21" t="s">
        <v>84</v>
      </c>
      <c r="C14" s="37"/>
      <c r="D14" s="37"/>
      <c r="E14" s="38"/>
      <c r="F14" s="38"/>
      <c r="G14" s="38"/>
      <c r="H14" s="21" t="n">
        <f aca="false">Inputs!$B$9</f>
        <v>100</v>
      </c>
      <c r="I14" s="38"/>
      <c r="J14" s="39"/>
    </row>
    <row r="16" customFormat="false" ht="15" hidden="false" customHeight="false" outlineLevel="0" collapsed="false">
      <c r="A16" s="33" t="s">
        <v>135</v>
      </c>
    </row>
    <row r="17" customFormat="false" ht="15" hidden="false" customHeight="false" outlineLevel="0" collapsed="false">
      <c r="A17" s="3" t="s">
        <v>136</v>
      </c>
      <c r="B17" s="4" t="s">
        <v>137</v>
      </c>
      <c r="C17" s="3" t="s">
        <v>37</v>
      </c>
      <c r="D17" s="3" t="s">
        <v>138</v>
      </c>
      <c r="E17" s="3" t="s">
        <v>139</v>
      </c>
      <c r="F17" s="3" t="s">
        <v>140</v>
      </c>
    </row>
    <row r="18" customFormat="false" ht="15" hidden="false" customHeight="false" outlineLevel="0" collapsed="false">
      <c r="A18" s="38"/>
      <c r="B18" s="38"/>
      <c r="C18" s="40" t="str">
        <f aca="false">IF($B18="","",INDEX('Wheat Mixing'!$B$6:$B$42,MATCH($B18,'Wheat Mixing'!$A$6:$A$42,0)))</f>
        <v/>
      </c>
      <c r="D18" s="38"/>
      <c r="E18" s="38"/>
      <c r="F18" s="41"/>
    </row>
    <row r="19" customFormat="false" ht="15" hidden="false" customHeight="false" outlineLevel="0" collapsed="false">
      <c r="A19" s="38"/>
      <c r="B19" s="38"/>
      <c r="C19" s="40" t="str">
        <f aca="false">IF($B19="","",INDEX('Wheat Mixing'!$B$6:$B$42,MATCH($B19,'Wheat Mixing'!$A$6:$A$42,0)))</f>
        <v/>
      </c>
      <c r="D19" s="38"/>
      <c r="E19" s="38"/>
      <c r="F19" s="41"/>
    </row>
    <row r="20" customFormat="false" ht="15" hidden="false" customHeight="false" outlineLevel="0" collapsed="false">
      <c r="A20" s="38"/>
      <c r="B20" s="38"/>
      <c r="C20" s="40" t="str">
        <f aca="false">IF($B20="","",INDEX('Wheat Mixing'!$B$6:$B$42,MATCH($B20,'Wheat Mixing'!$A$6:$A$42,0)))</f>
        <v/>
      </c>
      <c r="D20" s="38"/>
      <c r="E20" s="38"/>
      <c r="F20" s="41"/>
    </row>
    <row r="21" customFormat="false" ht="15" hidden="false" customHeight="false" outlineLevel="0" collapsed="false">
      <c r="A21" s="38"/>
      <c r="B21" s="38"/>
      <c r="C21" s="40" t="str">
        <f aca="false">IF($B21="","",INDEX('Wheat Mixing'!$B$6:$B$42,MATCH($B21,'Wheat Mixing'!$A$6:$A$42,0)))</f>
        <v/>
      </c>
      <c r="D21" s="38"/>
      <c r="E21" s="38"/>
      <c r="F21" s="41"/>
    </row>
    <row r="23" customFormat="false" ht="15" hidden="false" customHeight="false" outlineLevel="0" collapsed="false">
      <c r="A23" s="12" t="s">
        <v>141</v>
      </c>
    </row>
    <row r="25" customFormat="false" ht="15" hidden="false" customHeight="false" outlineLevel="0" collapsed="false">
      <c r="A25" s="33" t="s">
        <v>142</v>
      </c>
    </row>
    <row r="26" customFormat="false" ht="15" hidden="false" customHeight="false" outlineLevel="0" collapsed="false">
      <c r="A26" s="3" t="s">
        <v>143</v>
      </c>
      <c r="B26" s="4" t="s">
        <v>144</v>
      </c>
      <c r="C26" s="3" t="s">
        <v>145</v>
      </c>
      <c r="D26" s="3" t="s">
        <v>119</v>
      </c>
    </row>
    <row r="27" customFormat="false" ht="15" hidden="false" customHeight="false" outlineLevel="0" collapsed="false">
      <c r="A27" s="7" t="s">
        <v>146</v>
      </c>
      <c r="B27" s="7" t="s">
        <v>123</v>
      </c>
      <c r="C27" s="42"/>
      <c r="D27" s="43"/>
    </row>
    <row r="28" customFormat="false" ht="15" hidden="false" customHeight="false" outlineLevel="0" collapsed="false">
      <c r="A28" s="7" t="s">
        <v>124</v>
      </c>
      <c r="B28" s="42"/>
      <c r="C28" s="42"/>
      <c r="D28" s="43"/>
    </row>
    <row r="29" customFormat="false" ht="15" hidden="false" customHeight="false" outlineLevel="0" collapsed="false">
      <c r="A29" s="7" t="s">
        <v>124</v>
      </c>
      <c r="B29" s="42"/>
      <c r="C29" s="42"/>
      <c r="D29" s="43"/>
    </row>
    <row r="30" customFormat="false" ht="15" hidden="false" customHeight="false" outlineLevel="0" collapsed="false">
      <c r="A30" s="7" t="s">
        <v>124</v>
      </c>
      <c r="B30" s="42"/>
      <c r="C30" s="42"/>
      <c r="D30" s="43"/>
    </row>
    <row r="32" customFormat="false" ht="15" hidden="false" customHeight="false" outlineLevel="0" collapsed="false">
      <c r="A32" s="1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2026-08-13T22:28:04Z</dcterms:created>
  <dc:creator>openpyxl</dc:creator>
  <dc:description/>
  <dc:language>en-US</dc:language>
  <cp:lastModifiedBy/>
  <dcterms:modified xsi:type="dcterms:W3CDTF">2026-08-13T22:28:04Z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